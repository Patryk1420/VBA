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ptomasze\Downloads\"/>
    </mc:Choice>
  </mc:AlternateContent>
  <xr:revisionPtr revIDLastSave="0" documentId="13_ncr:1_{8B6B84F5-F9C5-4E8F-8B88-191D36944FFE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Regały" sheetId="1" state="veryHidden" r:id="rId1"/>
    <sheet name="INFO" sheetId="6" r:id="rId2"/>
    <sheet name="ilości" sheetId="4" state="hidden" r:id="rId3"/>
    <sheet name="Arkusz pomocniczy" sheetId="5" state="hidden" r:id="rId4"/>
    <sheet name="safety" sheetId="3" r:id="rId5"/>
    <sheet name="Data" sheetId="2" state="veryHidden" r:id="rId6"/>
  </sheets>
  <definedNames>
    <definedName name="_xlnm._FilterDatabase" localSheetId="0" hidden="1">Regały!$S$32:$AI$34</definedName>
    <definedName name="_xlnm.Print_Area" localSheetId="0">Regały!$A$1:$AQ$60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6" i="5" l="1"/>
  <c r="J15" i="5"/>
  <c r="J14" i="5"/>
  <c r="J13" i="5"/>
  <c r="J12" i="5"/>
  <c r="J11" i="5"/>
  <c r="J10" i="5"/>
  <c r="J9" i="5"/>
  <c r="J8" i="5"/>
  <c r="J7" i="5"/>
  <c r="J6" i="5"/>
  <c r="J5" i="5"/>
  <c r="I27" i="5"/>
  <c r="I26" i="5"/>
  <c r="I25" i="5"/>
  <c r="I24" i="5"/>
  <c r="I23" i="5"/>
  <c r="I22" i="5"/>
  <c r="I21" i="5"/>
  <c r="I20" i="5"/>
  <c r="I19" i="5"/>
  <c r="I18" i="5"/>
  <c r="I17" i="5"/>
  <c r="I15" i="5"/>
  <c r="I16" i="5"/>
  <c r="I14" i="5"/>
  <c r="I13" i="5"/>
  <c r="I12" i="5"/>
  <c r="I11" i="5"/>
  <c r="I10" i="5"/>
  <c r="I9" i="5"/>
  <c r="I8" i="5"/>
  <c r="I7" i="5"/>
  <c r="I6" i="5"/>
  <c r="I5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AI12" i="1"/>
  <c r="C18" i="4"/>
  <c r="C20" i="4" s="1"/>
  <c r="C13" i="4"/>
  <c r="C15" i="4" s="1"/>
  <c r="C8" i="4"/>
  <c r="C10" i="4" s="1"/>
  <c r="C3" i="4"/>
  <c r="C5" i="4" s="1"/>
  <c r="H39" i="1" l="1"/>
  <c r="AI22" i="1"/>
  <c r="AI33" i="1" l="1"/>
  <c r="AI32" i="1"/>
  <c r="AJ22" i="1" l="1"/>
  <c r="C39" i="1" l="1"/>
  <c r="E46" i="1" l="1"/>
</calcChain>
</file>

<file path=xl/sharedStrings.xml><?xml version="1.0" encoding="utf-8"?>
<sst xmlns="http://schemas.openxmlformats.org/spreadsheetml/2006/main" count="1917" uniqueCount="797">
  <si>
    <t>D</t>
  </si>
  <si>
    <t>C</t>
  </si>
  <si>
    <t>B</t>
  </si>
  <si>
    <t>A</t>
  </si>
  <si>
    <t>Buteleczki</t>
  </si>
  <si>
    <t>CAP</t>
  </si>
  <si>
    <t>sheet</t>
  </si>
  <si>
    <t>cell</t>
  </si>
  <si>
    <t>changed to</t>
  </si>
  <si>
    <t>date &amp; Time</t>
  </si>
  <si>
    <r>
      <t xml:space="preserve">REGAŁ </t>
    </r>
    <r>
      <rPr>
        <b/>
        <sz val="26"/>
        <rFont val="Calibri"/>
        <family val="2"/>
        <charset val="238"/>
        <scheme val="minor"/>
      </rPr>
      <t>1</t>
    </r>
  </si>
  <si>
    <r>
      <t xml:space="preserve">REGAŁ </t>
    </r>
    <r>
      <rPr>
        <b/>
        <sz val="26"/>
        <rFont val="Calibri"/>
        <family val="2"/>
        <charset val="238"/>
        <scheme val="minor"/>
      </rPr>
      <t>2</t>
    </r>
  </si>
  <si>
    <r>
      <t xml:space="preserve">REGAŁ </t>
    </r>
    <r>
      <rPr>
        <b/>
        <sz val="26"/>
        <rFont val="Calibri"/>
        <family val="2"/>
        <charset val="238"/>
        <scheme val="minor"/>
      </rPr>
      <t>3</t>
    </r>
  </si>
  <si>
    <t>D11</t>
  </si>
  <si>
    <t>F17</t>
  </si>
  <si>
    <t>G18</t>
  </si>
  <si>
    <t>C6</t>
  </si>
  <si>
    <t>D6</t>
  </si>
  <si>
    <t>E6</t>
  </si>
  <si>
    <t>F6</t>
  </si>
  <si>
    <t>G6</t>
  </si>
  <si>
    <t>H6</t>
  </si>
  <si>
    <t>I6</t>
  </si>
  <si>
    <t>J6</t>
  </si>
  <si>
    <t>K6</t>
  </si>
  <si>
    <t>L6</t>
  </si>
  <si>
    <t>M6</t>
  </si>
  <si>
    <t>N6</t>
  </si>
  <si>
    <t>O6</t>
  </si>
  <si>
    <t>P6</t>
  </si>
  <si>
    <t>Q6</t>
  </si>
  <si>
    <t>R6</t>
  </si>
  <si>
    <t>S6</t>
  </si>
  <si>
    <t>T6</t>
  </si>
  <si>
    <t>U6</t>
  </si>
  <si>
    <t>V6</t>
  </si>
  <si>
    <t>W6</t>
  </si>
  <si>
    <t>X6</t>
  </si>
  <si>
    <t>Y6</t>
  </si>
  <si>
    <t>Z6</t>
  </si>
  <si>
    <t>AA6</t>
  </si>
  <si>
    <t>AB6</t>
  </si>
  <si>
    <t>AC6</t>
  </si>
  <si>
    <t>AD6</t>
  </si>
  <si>
    <t>AE6</t>
  </si>
  <si>
    <t>AF6</t>
  </si>
  <si>
    <t>AG6</t>
  </si>
  <si>
    <t>AH6</t>
  </si>
  <si>
    <t>C7</t>
  </si>
  <si>
    <t>D7</t>
  </si>
  <si>
    <t>E7</t>
  </si>
  <si>
    <t>F7</t>
  </si>
  <si>
    <t>G7</t>
  </si>
  <si>
    <t>H7</t>
  </si>
  <si>
    <t>I7</t>
  </si>
  <si>
    <t>J7</t>
  </si>
  <si>
    <t>K7</t>
  </si>
  <si>
    <t>L7</t>
  </si>
  <si>
    <t>M7</t>
  </si>
  <si>
    <t>N7</t>
  </si>
  <si>
    <t>O7</t>
  </si>
  <si>
    <t>P7</t>
  </si>
  <si>
    <t>Q7</t>
  </si>
  <si>
    <t>R7</t>
  </si>
  <si>
    <t>S7</t>
  </si>
  <si>
    <t>T7</t>
  </si>
  <si>
    <t>U7</t>
  </si>
  <si>
    <t>V7</t>
  </si>
  <si>
    <t>W7</t>
  </si>
  <si>
    <t>X7</t>
  </si>
  <si>
    <t>Y7</t>
  </si>
  <si>
    <t>Z7</t>
  </si>
  <si>
    <t>AA7</t>
  </si>
  <si>
    <t>AB7</t>
  </si>
  <si>
    <t>AC7</t>
  </si>
  <si>
    <t>AD7</t>
  </si>
  <si>
    <t>AE7</t>
  </si>
  <si>
    <t>AF7</t>
  </si>
  <si>
    <t>AG7</t>
  </si>
  <si>
    <t>AH7</t>
  </si>
  <si>
    <t>C8</t>
  </si>
  <si>
    <t>D8</t>
  </si>
  <si>
    <t>E8</t>
  </si>
  <si>
    <t>F8</t>
  </si>
  <si>
    <t>G8</t>
  </si>
  <si>
    <t>H8</t>
  </si>
  <si>
    <t>I8</t>
  </si>
  <si>
    <t>J8</t>
  </si>
  <si>
    <t>K8</t>
  </si>
  <si>
    <t>L8</t>
  </si>
  <si>
    <t>M8</t>
  </si>
  <si>
    <t>N8</t>
  </si>
  <si>
    <t>O8</t>
  </si>
  <si>
    <t>P8</t>
  </si>
  <si>
    <t>Q8</t>
  </si>
  <si>
    <t>R8</t>
  </si>
  <si>
    <t>S8</t>
  </si>
  <si>
    <t>T8</t>
  </si>
  <si>
    <t>U8</t>
  </si>
  <si>
    <t>V8</t>
  </si>
  <si>
    <t>W8</t>
  </si>
  <si>
    <t>X8</t>
  </si>
  <si>
    <t>Y8</t>
  </si>
  <si>
    <t>Z8</t>
  </si>
  <si>
    <t>AA8</t>
  </si>
  <si>
    <t>AB8</t>
  </si>
  <si>
    <t>AC8</t>
  </si>
  <si>
    <t>AD8</t>
  </si>
  <si>
    <t>AE8</t>
  </si>
  <si>
    <t>AF8</t>
  </si>
  <si>
    <t>AG8</t>
  </si>
  <si>
    <t>AH8</t>
  </si>
  <si>
    <t>C9</t>
  </si>
  <si>
    <t>D9</t>
  </si>
  <si>
    <t>E9</t>
  </si>
  <si>
    <t>F9</t>
  </si>
  <si>
    <t>G9</t>
  </si>
  <si>
    <t>H9</t>
  </si>
  <si>
    <t>I9</t>
  </si>
  <si>
    <t>J9</t>
  </si>
  <si>
    <t>K9</t>
  </si>
  <si>
    <t>L9</t>
  </si>
  <si>
    <t>M9</t>
  </si>
  <si>
    <t>N9</t>
  </si>
  <si>
    <t>O9</t>
  </si>
  <si>
    <t>P9</t>
  </si>
  <si>
    <t>Q9</t>
  </si>
  <si>
    <t>R9</t>
  </si>
  <si>
    <t>S9</t>
  </si>
  <si>
    <t>T9</t>
  </si>
  <si>
    <t>U9</t>
  </si>
  <si>
    <t>V9</t>
  </si>
  <si>
    <t>W9</t>
  </si>
  <si>
    <t>X9</t>
  </si>
  <si>
    <t>Y9</t>
  </si>
  <si>
    <t>Z9</t>
  </si>
  <si>
    <t>AA9</t>
  </si>
  <si>
    <t>AB9</t>
  </si>
  <si>
    <t>AC9</t>
  </si>
  <si>
    <t>AD9</t>
  </si>
  <si>
    <t>AE9</t>
  </si>
  <si>
    <t>AF9</t>
  </si>
  <si>
    <t>AG9</t>
  </si>
  <si>
    <t>AH9</t>
  </si>
  <si>
    <t>C10</t>
  </si>
  <si>
    <t>D10</t>
  </si>
  <si>
    <t>E10</t>
  </si>
  <si>
    <t>F10</t>
  </si>
  <si>
    <t>G10</t>
  </si>
  <si>
    <t>H10</t>
  </si>
  <si>
    <t>I10</t>
  </si>
  <si>
    <t>J10</t>
  </si>
  <si>
    <t>K10</t>
  </si>
  <si>
    <t>L10</t>
  </si>
  <si>
    <t>M10</t>
  </si>
  <si>
    <t>N10</t>
  </si>
  <si>
    <t>O10</t>
  </si>
  <si>
    <t>P10</t>
  </si>
  <si>
    <t>Q10</t>
  </si>
  <si>
    <t>R10</t>
  </si>
  <si>
    <t>S10</t>
  </si>
  <si>
    <t>T10</t>
  </si>
  <si>
    <t>U10</t>
  </si>
  <si>
    <t>V10</t>
  </si>
  <si>
    <t>W10</t>
  </si>
  <si>
    <t>X10</t>
  </si>
  <si>
    <t>Y10</t>
  </si>
  <si>
    <t>Z10</t>
  </si>
  <si>
    <t>AA10</t>
  </si>
  <si>
    <t>AB10</t>
  </si>
  <si>
    <t>AC10</t>
  </si>
  <si>
    <t>AD10</t>
  </si>
  <si>
    <t>AE10</t>
  </si>
  <si>
    <t>AF10</t>
  </si>
  <si>
    <t>AG10</t>
  </si>
  <si>
    <t>AH10</t>
  </si>
  <si>
    <t>C11</t>
  </si>
  <si>
    <t>E11</t>
  </si>
  <si>
    <t>F11</t>
  </si>
  <si>
    <t>G11</t>
  </si>
  <si>
    <t>H11</t>
  </si>
  <si>
    <t>I11</t>
  </si>
  <si>
    <t>J11</t>
  </si>
  <si>
    <t>K11</t>
  </si>
  <si>
    <t>L11</t>
  </si>
  <si>
    <t>M11</t>
  </si>
  <si>
    <t>N11</t>
  </si>
  <si>
    <t>O11</t>
  </si>
  <si>
    <t>P11</t>
  </si>
  <si>
    <t>Q11</t>
  </si>
  <si>
    <t>R11</t>
  </si>
  <si>
    <t>S11</t>
  </si>
  <si>
    <t>T11</t>
  </si>
  <si>
    <t>U11</t>
  </si>
  <si>
    <t>V11</t>
  </si>
  <si>
    <t>W11</t>
  </si>
  <si>
    <t>X11</t>
  </si>
  <si>
    <t>Y11</t>
  </si>
  <si>
    <t>Z11</t>
  </si>
  <si>
    <t>AA11</t>
  </si>
  <si>
    <t>AB11</t>
  </si>
  <si>
    <t>AC11</t>
  </si>
  <si>
    <t>AD11</t>
  </si>
  <si>
    <t>AE11</t>
  </si>
  <si>
    <t>AF11</t>
  </si>
  <si>
    <t>AG11</t>
  </si>
  <si>
    <t>AH11</t>
  </si>
  <si>
    <t>C12</t>
  </si>
  <si>
    <t>D12</t>
  </si>
  <si>
    <t>E12</t>
  </si>
  <si>
    <t>F12</t>
  </si>
  <si>
    <t>G12</t>
  </si>
  <si>
    <t>H12</t>
  </si>
  <si>
    <t>I12</t>
  </si>
  <si>
    <t>J12</t>
  </si>
  <si>
    <t>K12</t>
  </si>
  <si>
    <t>L12</t>
  </si>
  <si>
    <t>M12</t>
  </si>
  <si>
    <t>N12</t>
  </si>
  <si>
    <t>O12</t>
  </si>
  <si>
    <t>P12</t>
  </si>
  <si>
    <t>Q12</t>
  </si>
  <si>
    <t>R12</t>
  </si>
  <si>
    <t>S12</t>
  </si>
  <si>
    <t>T12</t>
  </si>
  <si>
    <t>U12</t>
  </si>
  <si>
    <t>V12</t>
  </si>
  <si>
    <t>W12</t>
  </si>
  <si>
    <t>X12</t>
  </si>
  <si>
    <t>Y12</t>
  </si>
  <si>
    <t>Z12</t>
  </si>
  <si>
    <t>AA12</t>
  </si>
  <si>
    <t>AB12</t>
  </si>
  <si>
    <t>AC12</t>
  </si>
  <si>
    <t>AD12</t>
  </si>
  <si>
    <t>AE12</t>
  </si>
  <si>
    <t>AF12</t>
  </si>
  <si>
    <t>AG12</t>
  </si>
  <si>
    <t>AH12</t>
  </si>
  <si>
    <t>C13</t>
  </si>
  <si>
    <t>D13</t>
  </si>
  <si>
    <t>E13</t>
  </si>
  <si>
    <t>F13</t>
  </si>
  <si>
    <t>G13</t>
  </si>
  <si>
    <t>H13</t>
  </si>
  <si>
    <t>I13</t>
  </si>
  <si>
    <t>J13</t>
  </si>
  <si>
    <t>K13</t>
  </si>
  <si>
    <t>L13</t>
  </si>
  <si>
    <t>M13</t>
  </si>
  <si>
    <t>N13</t>
  </si>
  <si>
    <t>O13</t>
  </si>
  <si>
    <t>P13</t>
  </si>
  <si>
    <t>Q13</t>
  </si>
  <si>
    <t>R13</t>
  </si>
  <si>
    <t>S13</t>
  </si>
  <si>
    <t>T13</t>
  </si>
  <si>
    <t>U13</t>
  </si>
  <si>
    <t>V13</t>
  </si>
  <si>
    <t>W13</t>
  </si>
  <si>
    <t>X13</t>
  </si>
  <si>
    <t>Y13</t>
  </si>
  <si>
    <t>Z13</t>
  </si>
  <si>
    <t>AA13</t>
  </si>
  <si>
    <t>AB13</t>
  </si>
  <si>
    <t>AC13</t>
  </si>
  <si>
    <t>AD13</t>
  </si>
  <si>
    <t>AE13</t>
  </si>
  <si>
    <t>AF13</t>
  </si>
  <si>
    <t>AG13</t>
  </si>
  <si>
    <t>AH13</t>
  </si>
  <si>
    <t>C16</t>
  </si>
  <si>
    <t>D16</t>
  </si>
  <si>
    <t>E16</t>
  </si>
  <si>
    <t>F16</t>
  </si>
  <si>
    <t>G16</t>
  </si>
  <si>
    <t>H16</t>
  </si>
  <si>
    <t>I16</t>
  </si>
  <si>
    <t>J16</t>
  </si>
  <si>
    <t>K16</t>
  </si>
  <si>
    <t>L16</t>
  </si>
  <si>
    <t>M16</t>
  </si>
  <si>
    <t>N16</t>
  </si>
  <si>
    <t>O16</t>
  </si>
  <si>
    <t>P16</t>
  </si>
  <si>
    <t>Q16</t>
  </si>
  <si>
    <t>R16</t>
  </si>
  <si>
    <t>S16</t>
  </si>
  <si>
    <t>T16</t>
  </si>
  <si>
    <t>U16</t>
  </si>
  <si>
    <t>V16</t>
  </si>
  <si>
    <t>W16</t>
  </si>
  <si>
    <t>X16</t>
  </si>
  <si>
    <t>Y16</t>
  </si>
  <si>
    <t>Z16</t>
  </si>
  <si>
    <t>AA16</t>
  </si>
  <si>
    <t>AB16</t>
  </si>
  <si>
    <t>AC16</t>
  </si>
  <si>
    <t>AD16</t>
  </si>
  <si>
    <t>AE16</t>
  </si>
  <si>
    <t>AF16</t>
  </si>
  <si>
    <t>AG16</t>
  </si>
  <si>
    <t>AH16</t>
  </si>
  <si>
    <t>C17</t>
  </si>
  <si>
    <t>D17</t>
  </si>
  <si>
    <t>E17</t>
  </si>
  <si>
    <t>G17</t>
  </si>
  <si>
    <t>H17</t>
  </si>
  <si>
    <t>I17</t>
  </si>
  <si>
    <t>J17</t>
  </si>
  <si>
    <t>K17</t>
  </si>
  <si>
    <t>L17</t>
  </si>
  <si>
    <t>M17</t>
  </si>
  <si>
    <t>N17</t>
  </si>
  <si>
    <t>O17</t>
  </si>
  <si>
    <t>P17</t>
  </si>
  <si>
    <t>Q17</t>
  </si>
  <si>
    <t>R17</t>
  </si>
  <si>
    <t>S17</t>
  </si>
  <si>
    <t>T17</t>
  </si>
  <si>
    <t>U17</t>
  </si>
  <si>
    <t>V17</t>
  </si>
  <si>
    <t>W17</t>
  </si>
  <si>
    <t>X17</t>
  </si>
  <si>
    <t>Y17</t>
  </si>
  <si>
    <t>Z17</t>
  </si>
  <si>
    <t>AA17</t>
  </si>
  <si>
    <t>AB17</t>
  </si>
  <si>
    <t>AC17</t>
  </si>
  <si>
    <t>AD17</t>
  </si>
  <si>
    <t>AE17</t>
  </si>
  <si>
    <t>AF17</t>
  </si>
  <si>
    <t>AG17</t>
  </si>
  <si>
    <t>AH17</t>
  </si>
  <si>
    <t>C18</t>
  </si>
  <si>
    <t>D18</t>
  </si>
  <si>
    <t>E18</t>
  </si>
  <si>
    <t>F18</t>
  </si>
  <si>
    <t>H18</t>
  </si>
  <si>
    <t>I18</t>
  </si>
  <si>
    <t>J18</t>
  </si>
  <si>
    <t>K18</t>
  </si>
  <si>
    <t>L18</t>
  </si>
  <si>
    <t>M18</t>
  </si>
  <si>
    <t>N18</t>
  </si>
  <si>
    <t>O18</t>
  </si>
  <si>
    <t>P18</t>
  </si>
  <si>
    <t>Q18</t>
  </si>
  <si>
    <t>R18</t>
  </si>
  <si>
    <t>S18</t>
  </si>
  <si>
    <t>T18</t>
  </si>
  <si>
    <t>U18</t>
  </si>
  <si>
    <t>V18</t>
  </si>
  <si>
    <t>W18</t>
  </si>
  <si>
    <t>X18</t>
  </si>
  <si>
    <t>Y18</t>
  </si>
  <si>
    <t>Z18</t>
  </si>
  <si>
    <t>AA18</t>
  </si>
  <si>
    <t>AB18</t>
  </si>
  <si>
    <t>AC18</t>
  </si>
  <si>
    <t>AD18</t>
  </si>
  <si>
    <t>AE18</t>
  </si>
  <si>
    <t>AF18</t>
  </si>
  <si>
    <t>AG18</t>
  </si>
  <si>
    <t>AH18</t>
  </si>
  <si>
    <t>C19</t>
  </si>
  <si>
    <t>D19</t>
  </si>
  <si>
    <t>E19</t>
  </si>
  <si>
    <t>F19</t>
  </si>
  <si>
    <t>G19</t>
  </si>
  <si>
    <t>H19</t>
  </si>
  <si>
    <t>I19</t>
  </si>
  <si>
    <t>J19</t>
  </si>
  <si>
    <t>K19</t>
  </si>
  <si>
    <t>L19</t>
  </si>
  <si>
    <t>M19</t>
  </si>
  <si>
    <t>N19</t>
  </si>
  <si>
    <t>O19</t>
  </si>
  <si>
    <t>P19</t>
  </si>
  <si>
    <t>Q19</t>
  </si>
  <si>
    <t>R19</t>
  </si>
  <si>
    <t>S19</t>
  </si>
  <si>
    <t>T19</t>
  </si>
  <si>
    <t>U19</t>
  </si>
  <si>
    <t>V19</t>
  </si>
  <si>
    <t>W19</t>
  </si>
  <si>
    <t>X19</t>
  </si>
  <si>
    <t>Y19</t>
  </si>
  <si>
    <t>Z19</t>
  </si>
  <si>
    <t>AA19</t>
  </si>
  <si>
    <t>AB19</t>
  </si>
  <si>
    <t>AC19</t>
  </si>
  <si>
    <t>AD19</t>
  </si>
  <si>
    <t>AE19</t>
  </si>
  <si>
    <t>AF19</t>
  </si>
  <si>
    <t>AG19</t>
  </si>
  <si>
    <t>AH19</t>
  </si>
  <si>
    <t>C20</t>
  </si>
  <si>
    <t>D20</t>
  </si>
  <si>
    <t>E20</t>
  </si>
  <si>
    <t>F20</t>
  </si>
  <si>
    <t>G20</t>
  </si>
  <si>
    <t>H20</t>
  </si>
  <si>
    <t>I20</t>
  </si>
  <si>
    <t>J20</t>
  </si>
  <si>
    <t>K20</t>
  </si>
  <si>
    <t>L20</t>
  </si>
  <si>
    <t>M20</t>
  </si>
  <si>
    <t>N20</t>
  </si>
  <si>
    <t>C21</t>
  </si>
  <si>
    <t>D21</t>
  </si>
  <si>
    <t>E21</t>
  </si>
  <si>
    <t>F21</t>
  </si>
  <si>
    <t>G21</t>
  </si>
  <si>
    <t>H21</t>
  </si>
  <si>
    <t>I21</t>
  </si>
  <si>
    <t>J21</t>
  </si>
  <si>
    <t>K21</t>
  </si>
  <si>
    <t>L21</t>
  </si>
  <si>
    <t>M21</t>
  </si>
  <si>
    <t>N21</t>
  </si>
  <si>
    <t>C22</t>
  </si>
  <si>
    <t>D22</t>
  </si>
  <si>
    <t>E22</t>
  </si>
  <si>
    <t>F22</t>
  </si>
  <si>
    <t>G22</t>
  </si>
  <si>
    <t>H22</t>
  </si>
  <si>
    <t>I22</t>
  </si>
  <si>
    <t>J22</t>
  </si>
  <si>
    <t>K22</t>
  </si>
  <si>
    <t>L22</t>
  </si>
  <si>
    <t>M22</t>
  </si>
  <si>
    <t>N22</t>
  </si>
  <si>
    <t>C23</t>
  </si>
  <si>
    <t>D23</t>
  </si>
  <si>
    <t>E23</t>
  </si>
  <si>
    <t>F23</t>
  </si>
  <si>
    <t>G23</t>
  </si>
  <si>
    <t>H23</t>
  </si>
  <si>
    <t>I23</t>
  </si>
  <si>
    <t>J23</t>
  </si>
  <si>
    <t>K23</t>
  </si>
  <si>
    <t>L23</t>
  </si>
  <si>
    <t>M23</t>
  </si>
  <si>
    <t>N23</t>
  </si>
  <si>
    <t>S20</t>
  </si>
  <si>
    <t>T20</t>
  </si>
  <si>
    <t>U20</t>
  </si>
  <si>
    <t>V20</t>
  </si>
  <si>
    <t>W20</t>
  </si>
  <si>
    <t>X20</t>
  </si>
  <si>
    <t>Y20</t>
  </si>
  <si>
    <t>Z20</t>
  </si>
  <si>
    <t>AA20</t>
  </si>
  <si>
    <t>AB20</t>
  </si>
  <si>
    <t>AC20</t>
  </si>
  <si>
    <t>AD20</t>
  </si>
  <si>
    <t>AE20</t>
  </si>
  <si>
    <t>AF20</t>
  </si>
  <si>
    <t>AG20</t>
  </si>
  <si>
    <t>AH20</t>
  </si>
  <si>
    <t>S21</t>
  </si>
  <si>
    <t>T21</t>
  </si>
  <si>
    <t>U21</t>
  </si>
  <si>
    <t>V21</t>
  </si>
  <si>
    <t>W21</t>
  </si>
  <si>
    <t>X21</t>
  </si>
  <si>
    <t>Y21</t>
  </si>
  <si>
    <t>Z21</t>
  </si>
  <si>
    <t>AA21</t>
  </si>
  <si>
    <t>AB21</t>
  </si>
  <si>
    <t>AC21</t>
  </si>
  <si>
    <t>AD21</t>
  </si>
  <si>
    <t>AE21</t>
  </si>
  <si>
    <t>AF21</t>
  </si>
  <si>
    <t>AG21</t>
  </si>
  <si>
    <t>AH21</t>
  </si>
  <si>
    <t>S22</t>
  </si>
  <si>
    <t>T22</t>
  </si>
  <si>
    <t>U22</t>
  </si>
  <si>
    <t>V22</t>
  </si>
  <si>
    <t>W22</t>
  </si>
  <si>
    <t>X22</t>
  </si>
  <si>
    <t>Y22</t>
  </si>
  <si>
    <t>Z22</t>
  </si>
  <si>
    <t>AA22</t>
  </si>
  <si>
    <t>AB22</t>
  </si>
  <si>
    <t>AC22</t>
  </si>
  <si>
    <t>AD22</t>
  </si>
  <si>
    <t>AE22</t>
  </si>
  <si>
    <t>AF22</t>
  </si>
  <si>
    <t>AG22</t>
  </si>
  <si>
    <t>AH22</t>
  </si>
  <si>
    <t>S23</t>
  </si>
  <si>
    <t>T23</t>
  </si>
  <si>
    <t>U23</t>
  </si>
  <si>
    <t>V23</t>
  </si>
  <si>
    <t>W23</t>
  </si>
  <si>
    <t>X23</t>
  </si>
  <si>
    <t>Y23</t>
  </si>
  <si>
    <t>Z23</t>
  </si>
  <si>
    <t>AA23</t>
  </si>
  <si>
    <t>AB23</t>
  </si>
  <si>
    <t>AC23</t>
  </si>
  <si>
    <t>AD23</t>
  </si>
  <si>
    <t>AE23</t>
  </si>
  <si>
    <t>AF23</t>
  </si>
  <si>
    <t>AG23</t>
  </si>
  <si>
    <t>AH23</t>
  </si>
  <si>
    <t>C26</t>
  </si>
  <si>
    <t>D26</t>
  </si>
  <si>
    <t>E26</t>
  </si>
  <si>
    <t>F26</t>
  </si>
  <si>
    <t>G26</t>
  </si>
  <si>
    <t>H26</t>
  </si>
  <si>
    <t>I26</t>
  </si>
  <si>
    <t>J26</t>
  </si>
  <si>
    <t>K26</t>
  </si>
  <si>
    <t>L26</t>
  </si>
  <si>
    <t>M26</t>
  </si>
  <si>
    <t>N26</t>
  </si>
  <si>
    <t>C27</t>
  </si>
  <si>
    <t>D27</t>
  </si>
  <si>
    <t>E27</t>
  </si>
  <si>
    <t>F27</t>
  </si>
  <si>
    <t>G27</t>
  </si>
  <si>
    <t>H27</t>
  </si>
  <si>
    <t>I27</t>
  </si>
  <si>
    <t>J27</t>
  </si>
  <si>
    <t>K27</t>
  </si>
  <si>
    <t>L27</t>
  </si>
  <si>
    <t>M27</t>
  </si>
  <si>
    <t>N27</t>
  </si>
  <si>
    <t>C28</t>
  </si>
  <si>
    <t>D28</t>
  </si>
  <si>
    <t>E28</t>
  </si>
  <si>
    <t>F28</t>
  </si>
  <si>
    <t>G28</t>
  </si>
  <si>
    <t>H28</t>
  </si>
  <si>
    <t>I28</t>
  </si>
  <si>
    <t>J28</t>
  </si>
  <si>
    <t>K28</t>
  </si>
  <si>
    <t>L28</t>
  </si>
  <si>
    <t>M28</t>
  </si>
  <si>
    <t>N28</t>
  </si>
  <si>
    <t>C29</t>
  </si>
  <si>
    <t>D29</t>
  </si>
  <si>
    <t>E29</t>
  </si>
  <si>
    <t>F29</t>
  </si>
  <si>
    <t>G29</t>
  </si>
  <si>
    <t>H29</t>
  </si>
  <si>
    <t>I29</t>
  </si>
  <si>
    <t>J29</t>
  </si>
  <si>
    <t>K29</t>
  </si>
  <si>
    <t>L29</t>
  </si>
  <si>
    <t>M29</t>
  </si>
  <si>
    <t>N29</t>
  </si>
  <si>
    <t>C30</t>
  </si>
  <si>
    <t>D30</t>
  </si>
  <si>
    <t>E30</t>
  </si>
  <si>
    <t>F30</t>
  </si>
  <si>
    <t>G30</t>
  </si>
  <si>
    <t>H30</t>
  </si>
  <si>
    <t>I30</t>
  </si>
  <si>
    <t>J30</t>
  </si>
  <si>
    <t>K30</t>
  </si>
  <si>
    <t>L30</t>
  </si>
  <si>
    <t>M30</t>
  </si>
  <si>
    <t>N30</t>
  </si>
  <si>
    <t>C31</t>
  </si>
  <si>
    <t>D31</t>
  </si>
  <si>
    <t>E31</t>
  </si>
  <si>
    <t>F31</t>
  </si>
  <si>
    <t>G31</t>
  </si>
  <si>
    <t>H31</t>
  </si>
  <si>
    <t>I31</t>
  </si>
  <si>
    <t>J31</t>
  </si>
  <si>
    <t>K31</t>
  </si>
  <si>
    <t>L31</t>
  </si>
  <si>
    <t>M31</t>
  </si>
  <si>
    <t>N31</t>
  </si>
  <si>
    <t>C32</t>
  </si>
  <si>
    <t>D32</t>
  </si>
  <si>
    <t>E32</t>
  </si>
  <si>
    <t>F32</t>
  </si>
  <si>
    <t>G32</t>
  </si>
  <si>
    <t>H32</t>
  </si>
  <si>
    <t>I32</t>
  </si>
  <si>
    <t>J32</t>
  </si>
  <si>
    <t>K32</t>
  </si>
  <si>
    <t>L32</t>
  </si>
  <si>
    <t>M32</t>
  </si>
  <si>
    <t>N32</t>
  </si>
  <si>
    <t>C33</t>
  </si>
  <si>
    <t>D33</t>
  </si>
  <si>
    <t>E33</t>
  </si>
  <si>
    <t>F33</t>
  </si>
  <si>
    <t>G33</t>
  </si>
  <si>
    <t>H33</t>
  </si>
  <si>
    <t>I33</t>
  </si>
  <si>
    <t>J33</t>
  </si>
  <si>
    <t>K33</t>
  </si>
  <si>
    <t>L33</t>
  </si>
  <si>
    <t>M33</t>
  </si>
  <si>
    <t>N33</t>
  </si>
  <si>
    <t>O26</t>
  </si>
  <si>
    <t>P26</t>
  </si>
  <si>
    <t>Q26</t>
  </si>
  <si>
    <t>R26</t>
  </si>
  <si>
    <t>O27</t>
  </si>
  <si>
    <t>P27</t>
  </si>
  <si>
    <t>Q27</t>
  </si>
  <si>
    <t>R27</t>
  </si>
  <si>
    <t>O28</t>
  </si>
  <si>
    <t>P28</t>
  </si>
  <si>
    <t>Q28</t>
  </si>
  <si>
    <t>R28</t>
  </si>
  <si>
    <t>O29</t>
  </si>
  <si>
    <t>P29</t>
  </si>
  <si>
    <t>Q29</t>
  </si>
  <si>
    <t>R29</t>
  </si>
  <si>
    <t>S26</t>
  </si>
  <si>
    <t>T26</t>
  </si>
  <si>
    <t>U26</t>
  </si>
  <si>
    <t>V26</t>
  </si>
  <si>
    <t>W26</t>
  </si>
  <si>
    <t>X26</t>
  </si>
  <si>
    <t>Y26</t>
  </si>
  <si>
    <t>Z26</t>
  </si>
  <si>
    <t>AA26</t>
  </si>
  <si>
    <t>AB26</t>
  </si>
  <si>
    <t>AC26</t>
  </si>
  <si>
    <t>AD26</t>
  </si>
  <si>
    <t>AE26</t>
  </si>
  <si>
    <t>AF26</t>
  </si>
  <si>
    <t>AG26</t>
  </si>
  <si>
    <t>AH26</t>
  </si>
  <si>
    <t>S27</t>
  </si>
  <si>
    <t>T27</t>
  </si>
  <si>
    <t>U27</t>
  </si>
  <si>
    <t>V27</t>
  </si>
  <si>
    <t>W27</t>
  </si>
  <si>
    <t>X27</t>
  </si>
  <si>
    <t>Y27</t>
  </si>
  <si>
    <t>Z27</t>
  </si>
  <si>
    <t>AA27</t>
  </si>
  <si>
    <t>AB27</t>
  </si>
  <si>
    <t>AC27</t>
  </si>
  <si>
    <t>AD27</t>
  </si>
  <si>
    <t>AE27</t>
  </si>
  <si>
    <t>AF27</t>
  </si>
  <si>
    <t>AG27</t>
  </si>
  <si>
    <t>AH27</t>
  </si>
  <si>
    <t>S28</t>
  </si>
  <si>
    <t>T28</t>
  </si>
  <si>
    <t>U28</t>
  </si>
  <si>
    <t>V28</t>
  </si>
  <si>
    <t>W28</t>
  </si>
  <si>
    <t>X28</t>
  </si>
  <si>
    <t>Y28</t>
  </si>
  <si>
    <t>Z28</t>
  </si>
  <si>
    <t>AA28</t>
  </si>
  <si>
    <t>AB28</t>
  </si>
  <si>
    <t>AC28</t>
  </si>
  <si>
    <t>AD28</t>
  </si>
  <si>
    <t>AE28</t>
  </si>
  <si>
    <t>AF28</t>
  </si>
  <si>
    <t>AG28</t>
  </si>
  <si>
    <t>AH28</t>
  </si>
  <si>
    <t>S29</t>
  </si>
  <si>
    <t>T29</t>
  </si>
  <si>
    <t>U29</t>
  </si>
  <si>
    <t>V29</t>
  </si>
  <si>
    <t>W29</t>
  </si>
  <si>
    <t>X29</t>
  </si>
  <si>
    <t>Y29</t>
  </si>
  <si>
    <t>Z29</t>
  </si>
  <si>
    <t>AA29</t>
  </si>
  <si>
    <t>AB29</t>
  </si>
  <si>
    <t>AC29</t>
  </si>
  <si>
    <t>AD29</t>
  </si>
  <si>
    <t>AE29</t>
  </si>
  <si>
    <t>AF29</t>
  </si>
  <si>
    <t>AG29</t>
  </si>
  <si>
    <t>AH29</t>
  </si>
  <si>
    <t>S30</t>
  </si>
  <si>
    <t>T30</t>
  </si>
  <si>
    <t>U30</t>
  </si>
  <si>
    <t>V30</t>
  </si>
  <si>
    <t>W30</t>
  </si>
  <si>
    <t>X30</t>
  </si>
  <si>
    <t>Y30</t>
  </si>
  <si>
    <t>Z30</t>
  </si>
  <si>
    <t>AA30</t>
  </si>
  <si>
    <t>AB30</t>
  </si>
  <si>
    <t>AC30</t>
  </si>
  <si>
    <t>AD30</t>
  </si>
  <si>
    <t>AE30</t>
  </si>
  <si>
    <t>AF30</t>
  </si>
  <si>
    <t>AG30</t>
  </si>
  <si>
    <t>AH30</t>
  </si>
  <si>
    <t>S31</t>
  </si>
  <si>
    <t>T31</t>
  </si>
  <si>
    <t>U31</t>
  </si>
  <si>
    <t>V31</t>
  </si>
  <si>
    <t>W31</t>
  </si>
  <si>
    <t>X31</t>
  </si>
  <si>
    <t>Y31</t>
  </si>
  <si>
    <t>Z31</t>
  </si>
  <si>
    <t>AA31</t>
  </si>
  <si>
    <t>AB31</t>
  </si>
  <si>
    <t>AC31</t>
  </si>
  <si>
    <t>AD31</t>
  </si>
  <si>
    <t>AE31</t>
  </si>
  <si>
    <t>AF31</t>
  </si>
  <si>
    <t>AG31</t>
  </si>
  <si>
    <t>AH31</t>
  </si>
  <si>
    <t>S32</t>
  </si>
  <si>
    <t>T32</t>
  </si>
  <si>
    <t>U32</t>
  </si>
  <si>
    <t>V32</t>
  </si>
  <si>
    <t>W32</t>
  </si>
  <si>
    <t>X32</t>
  </si>
  <si>
    <t>Y32</t>
  </si>
  <si>
    <t>Z32</t>
  </si>
  <si>
    <t>AA32</t>
  </si>
  <si>
    <t>AB32</t>
  </si>
  <si>
    <t>AC32</t>
  </si>
  <si>
    <t>AD32</t>
  </si>
  <si>
    <t>AE32</t>
  </si>
  <si>
    <t>AF32</t>
  </si>
  <si>
    <t>AG32</t>
  </si>
  <si>
    <t>AH32</t>
  </si>
  <si>
    <t>S33</t>
  </si>
  <si>
    <t>T33</t>
  </si>
  <si>
    <t>U33</t>
  </si>
  <si>
    <t>V33</t>
  </si>
  <si>
    <t>W33</t>
  </si>
  <si>
    <t>X33</t>
  </si>
  <si>
    <t>Y33</t>
  </si>
  <si>
    <t>Z33</t>
  </si>
  <si>
    <t>AA33</t>
  </si>
  <si>
    <t>AB33</t>
  </si>
  <si>
    <t>AC33</t>
  </si>
  <si>
    <t>AD33</t>
  </si>
  <si>
    <t>AE33</t>
  </si>
  <si>
    <t>AF33</t>
  </si>
  <si>
    <t>AG33</t>
  </si>
  <si>
    <t>AH33</t>
  </si>
  <si>
    <t>But</t>
  </si>
  <si>
    <t>Tacki</t>
  </si>
  <si>
    <t>Kar..</t>
  </si>
  <si>
    <t xml:space="preserve">Wolne miejsca na beczki </t>
  </si>
  <si>
    <t>Wolne miejsca opakowania</t>
  </si>
  <si>
    <t xml:space="preserve">włącz makra </t>
  </si>
  <si>
    <t>Razem wolnych miejsc</t>
  </si>
  <si>
    <t xml:space="preserve"> </t>
  </si>
  <si>
    <t>Kadzie</t>
  </si>
  <si>
    <t>Testy</t>
  </si>
  <si>
    <t xml:space="preserve">Lokalizacja 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</si>
  <si>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</si>
  <si>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</si>
  <si>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</si>
  <si>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</si>
  <si>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</si>
  <si>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</si>
  <si>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</si>
  <si>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</si>
  <si>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</si>
  <si>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</si>
  <si>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Data</t>
  </si>
  <si>
    <t>Material</t>
  </si>
  <si>
    <t>1</t>
  </si>
  <si>
    <t>W42</t>
  </si>
  <si>
    <t>X42</t>
  </si>
  <si>
    <t>AG42</t>
  </si>
  <si>
    <t>Y42</t>
  </si>
  <si>
    <t>Z42</t>
  </si>
  <si>
    <t>AA42</t>
  </si>
  <si>
    <t>AB42</t>
  </si>
  <si>
    <t>AC42</t>
  </si>
  <si>
    <t>AD42</t>
  </si>
  <si>
    <t>AE42</t>
  </si>
  <si>
    <t>AF42</t>
  </si>
  <si>
    <t>palety</t>
  </si>
  <si>
    <t>szt</t>
  </si>
  <si>
    <t>Capy</t>
  </si>
  <si>
    <t xml:space="preserve">palety </t>
  </si>
  <si>
    <t>Kartoniki</t>
  </si>
  <si>
    <t>R1</t>
  </si>
  <si>
    <t>R2</t>
  </si>
  <si>
    <t>R3</t>
  </si>
  <si>
    <t>Kadź</t>
  </si>
  <si>
    <t>Regały</t>
  </si>
  <si>
    <t>INFO</t>
  </si>
  <si>
    <t>Przycisk Pobierz - usuwa zaznaczone komórki i przywraca pierwotny kolor komórki</t>
  </si>
  <si>
    <t>Przycisk Wyszukaj - wyszukuje określoną ilość produktu i zaznacza na zielone (wyszukiwanie po dacie dodania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</si>
</sst>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charset val="238"/>
      <scheme val="minor"/>
    </font>
    <font>
      <sz val="10"/>
      <color theme="1"/>
      <name val="Arial"/>
      <family val="2"/>
      <charset val="238"/>
    </font>
    <font>
      <sz val="1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26"/>
      <name val="Calibri"/>
      <family val="2"/>
      <charset val="238"/>
      <scheme val="minor"/>
    </font>
    <font>
      <sz val="22"/>
      <name val="Calibri"/>
      <family val="2"/>
      <charset val="238"/>
      <scheme val="minor"/>
    </font>
    <font>
      <b/>
      <sz val="16"/>
      <name val="Calibri"/>
      <family val="2"/>
      <charset val="238"/>
      <scheme val="minor"/>
    </font>
    <font>
      <b/>
      <sz val="22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sz val="18"/>
      <name val="Calibri"/>
      <family val="2"/>
      <charset val="238"/>
      <scheme val="minor"/>
    </font>
    <font>
      <b/>
      <sz val="8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b/>
      <sz val="10"/>
      <color rgb="FF3F3F3F"/>
      <name val="Arial"/>
      <family val="2"/>
      <charset val="238"/>
    </font>
    <font>
      <b/>
      <sz val="18"/>
      <color rgb="FF3F3F3F"/>
      <name val="Arial"/>
      <family val="2"/>
      <charset val="238"/>
    </font>
    <font>
      <sz val="36"/>
      <color theme="1"/>
      <name val="Arial"/>
      <family val="2"/>
      <charset val="238"/>
    </font>
    <font>
      <sz val="10"/>
      <color rgb="FF006100"/>
      <name val="Arial"/>
      <family val="2"/>
      <charset val="238"/>
    </font>
    <font>
      <b/>
      <sz val="16"/>
      <color rgb="FF3F3F3F"/>
      <name val="Arial"/>
      <family val="2"/>
      <charset val="238"/>
    </font>
    <font>
      <sz val="20"/>
      <color theme="1"/>
      <name val="Arial"/>
      <family val="2"/>
      <charset val="238"/>
    </font>
    <font>
      <sz val="20"/>
      <color theme="1"/>
      <name val="Calibri"/>
      <family val="2"/>
      <charset val="238"/>
      <scheme val="minor"/>
    </font>
    <font>
      <sz val="16"/>
      <name val="Calibri"/>
      <family val="2"/>
      <charset val="238"/>
      <scheme val="minor"/>
    </font>
    <font>
      <sz val="16"/>
      <color rgb="FF000000"/>
      <name val="Calibri"/>
      <family val="2"/>
      <charset val="238"/>
    </font>
    <font>
      <sz val="18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C6EFCE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11" fillId="0" borderId="0" applyFont="0" applyFill="0" applyBorder="0" applyAlignment="0" applyProtection="0"/>
    <xf numFmtId="0" fontId="13" fillId="9" borderId="41" applyNumberFormat="0" applyAlignment="0" applyProtection="0"/>
    <xf numFmtId="0" fontId="1" fillId="10" borderId="0" applyNumberFormat="0" applyBorder="0" applyAlignment="0" applyProtection="0"/>
    <xf numFmtId="0" fontId="16" fillId="12" borderId="0" applyNumberFormat="0" applyBorder="0" applyAlignment="0" applyProtection="0"/>
  </cellStyleXfs>
  <cellXfs count="199">
    <xf numFmtId="0" fontId="0" fillId="0" borderId="0" xfId="0"/>
    <xf numFmtId="1" fontId="2" fillId="0" borderId="0" xfId="0" applyNumberFormat="1" applyFont="1" applyAlignment="1">
      <alignment horizontal="center"/>
    </xf>
    <xf numFmtId="22" fontId="0" fillId="0" borderId="0" xfId="0" applyNumberFormat="1"/>
    <xf numFmtId="0" fontId="0" fillId="0" borderId="0" xfId="0" applyNumberFormat="1"/>
    <xf numFmtId="1" fontId="2" fillId="0" borderId="0" xfId="0" applyNumberFormat="1" applyFont="1" applyBorder="1"/>
    <xf numFmtId="1" fontId="2" fillId="0" borderId="0" xfId="0" applyNumberFormat="1" applyFont="1"/>
    <xf numFmtId="1" fontId="2" fillId="0" borderId="0" xfId="0" applyNumberFormat="1" applyFont="1" applyFill="1" applyBorder="1"/>
    <xf numFmtId="0" fontId="0" fillId="0" borderId="0" xfId="0" applyFill="1"/>
    <xf numFmtId="1" fontId="2" fillId="0" borderId="0" xfId="0" applyNumberFormat="1" applyFont="1" applyFill="1"/>
    <xf numFmtId="1" fontId="6" fillId="4" borderId="25" xfId="0" applyNumberFormat="1" applyFont="1" applyFill="1" applyBorder="1" applyAlignment="1">
      <alignment horizontal="center"/>
    </xf>
    <xf numFmtId="1" fontId="6" fillId="4" borderId="7" xfId="0" applyNumberFormat="1" applyFont="1" applyFill="1" applyBorder="1" applyAlignment="1">
      <alignment horizontal="center"/>
    </xf>
    <xf numFmtId="1" fontId="6" fillId="4" borderId="18" xfId="0" applyNumberFormat="1" applyFont="1" applyFill="1" applyBorder="1" applyAlignment="1">
      <alignment horizontal="center"/>
    </xf>
    <xf numFmtId="1" fontId="6" fillId="4" borderId="19" xfId="0" applyNumberFormat="1" applyFont="1" applyFill="1" applyBorder="1" applyAlignment="1">
      <alignment horizontal="center"/>
    </xf>
    <xf numFmtId="1" fontId="6" fillId="4" borderId="20" xfId="0" applyNumberFormat="1" applyFont="1" applyFill="1" applyBorder="1" applyAlignment="1">
      <alignment horizontal="center"/>
    </xf>
    <xf numFmtId="1" fontId="6" fillId="4" borderId="4" xfId="0" applyNumberFormat="1" applyFont="1" applyFill="1" applyBorder="1" applyAlignment="1">
      <alignment horizontal="center"/>
    </xf>
    <xf numFmtId="1" fontId="6" fillId="4" borderId="29" xfId="0" applyNumberFormat="1" applyFont="1" applyFill="1" applyBorder="1" applyAlignment="1">
      <alignment horizontal="center"/>
    </xf>
    <xf numFmtId="1" fontId="6" fillId="4" borderId="30" xfId="0" applyNumberFormat="1" applyFont="1" applyFill="1" applyBorder="1" applyAlignment="1">
      <alignment horizontal="center"/>
    </xf>
    <xf numFmtId="1" fontId="6" fillId="4" borderId="31" xfId="0" applyNumberFormat="1" applyFont="1" applyFill="1" applyBorder="1" applyAlignment="1">
      <alignment horizontal="center"/>
    </xf>
    <xf numFmtId="1" fontId="6" fillId="4" borderId="32" xfId="0" applyNumberFormat="1" applyFont="1" applyFill="1" applyBorder="1" applyAlignment="1">
      <alignment horizontal="center"/>
    </xf>
    <xf numFmtId="1" fontId="6" fillId="4" borderId="33" xfId="0" applyNumberFormat="1" applyFont="1" applyFill="1" applyBorder="1" applyAlignment="1">
      <alignment horizontal="center"/>
    </xf>
    <xf numFmtId="1" fontId="6" fillId="4" borderId="16" xfId="0" applyNumberFormat="1" applyFont="1" applyFill="1" applyBorder="1" applyAlignment="1">
      <alignment horizontal="center"/>
    </xf>
    <xf numFmtId="1" fontId="6" fillId="4" borderId="17" xfId="0" applyNumberFormat="1" applyFont="1" applyFill="1" applyBorder="1" applyAlignment="1">
      <alignment horizontal="center"/>
    </xf>
    <xf numFmtId="1" fontId="9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1" fontId="8" fillId="6" borderId="31" xfId="0" applyNumberFormat="1" applyFont="1" applyFill="1" applyBorder="1" applyAlignment="1">
      <alignment horizontal="center"/>
    </xf>
    <xf numFmtId="1" fontId="8" fillId="6" borderId="29" xfId="0" applyNumberFormat="1" applyFont="1" applyFill="1" applyBorder="1" applyAlignment="1">
      <alignment horizontal="center"/>
    </xf>
    <xf numFmtId="1" fontId="8" fillId="6" borderId="30" xfId="0" applyNumberFormat="1" applyFont="1" applyFill="1" applyBorder="1" applyAlignment="1">
      <alignment horizontal="center"/>
    </xf>
    <xf numFmtId="1" fontId="8" fillId="6" borderId="34" xfId="0" applyNumberFormat="1" applyFont="1" applyFill="1" applyBorder="1" applyAlignment="1">
      <alignment horizontal="center"/>
    </xf>
    <xf numFmtId="1" fontId="8" fillId="6" borderId="35" xfId="0" applyNumberFormat="1" applyFont="1" applyFill="1" applyBorder="1" applyAlignment="1">
      <alignment horizontal="center"/>
    </xf>
    <xf numFmtId="1" fontId="8" fillId="6" borderId="36" xfId="0" applyNumberFormat="1" applyFont="1" applyFill="1" applyBorder="1" applyAlignment="1">
      <alignment horizontal="center"/>
    </xf>
    <xf numFmtId="1" fontId="6" fillId="7" borderId="7" xfId="0" applyNumberFormat="1" applyFont="1" applyFill="1" applyBorder="1" applyAlignment="1">
      <alignment horizontal="center"/>
    </xf>
    <xf numFmtId="1" fontId="6" fillId="7" borderId="1" xfId="0" applyNumberFormat="1" applyFont="1" applyFill="1" applyBorder="1" applyAlignment="1">
      <alignment horizontal="center"/>
    </xf>
    <xf numFmtId="1" fontId="6" fillId="3" borderId="1" xfId="0" applyNumberFormat="1" applyFont="1" applyFill="1" applyBorder="1" applyAlignment="1">
      <alignment horizontal="center"/>
    </xf>
    <xf numFmtId="1" fontId="6" fillId="3" borderId="2" xfId="0" applyNumberFormat="1" applyFont="1" applyFill="1" applyBorder="1" applyAlignment="1">
      <alignment horizontal="center"/>
    </xf>
    <xf numFmtId="1" fontId="6" fillId="2" borderId="10" xfId="0" applyNumberFormat="1" applyFont="1" applyFill="1" applyBorder="1" applyAlignment="1">
      <alignment horizontal="center"/>
    </xf>
    <xf numFmtId="1" fontId="6" fillId="2" borderId="13" xfId="0" applyNumberFormat="1" applyFont="1" applyFill="1" applyBorder="1" applyAlignment="1">
      <alignment horizontal="center"/>
    </xf>
    <xf numFmtId="1" fontId="6" fillId="7" borderId="13" xfId="0" applyNumberFormat="1" applyFont="1" applyFill="1" applyBorder="1" applyAlignment="1">
      <alignment horizontal="center"/>
    </xf>
    <xf numFmtId="1" fontId="8" fillId="0" borderId="0" xfId="0" applyNumberFormat="1" applyFont="1" applyAlignment="1">
      <alignment horizontal="center"/>
    </xf>
    <xf numFmtId="1" fontId="6" fillId="4" borderId="3" xfId="0" applyNumberFormat="1" applyFont="1" applyFill="1" applyBorder="1" applyAlignment="1">
      <alignment horizontal="center"/>
    </xf>
    <xf numFmtId="1" fontId="3" fillId="3" borderId="13" xfId="0" applyNumberFormat="1" applyFont="1" applyFill="1" applyBorder="1" applyAlignment="1">
      <alignment horizontal="center"/>
    </xf>
    <xf numFmtId="1" fontId="3" fillId="7" borderId="13" xfId="0" applyNumberFormat="1" applyFont="1" applyFill="1" applyBorder="1" applyAlignment="1">
      <alignment horizontal="center"/>
    </xf>
    <xf numFmtId="1" fontId="3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1" fontId="3" fillId="2" borderId="10" xfId="0" applyNumberFormat="1" applyFont="1" applyFill="1" applyBorder="1" applyAlignment="1">
      <alignment horizontal="center"/>
    </xf>
    <xf numFmtId="1" fontId="10" fillId="2" borderId="13" xfId="0" applyNumberFormat="1" applyFont="1" applyFill="1" applyBorder="1" applyAlignment="1">
      <alignment horizontal="center"/>
    </xf>
    <xf numFmtId="1" fontId="10" fillId="3" borderId="13" xfId="0" applyNumberFormat="1" applyFont="1" applyFill="1" applyBorder="1" applyAlignment="1">
      <alignment horizontal="center"/>
    </xf>
    <xf numFmtId="1" fontId="10" fillId="0" borderId="0" xfId="0" applyNumberFormat="1" applyFont="1" applyAlignment="1">
      <alignment horizontal="center"/>
    </xf>
    <xf numFmtId="1" fontId="0" fillId="0" borderId="0" xfId="0" applyNumberFormat="1" applyFont="1"/>
    <xf numFmtId="1" fontId="2" fillId="0" borderId="22" xfId="0" applyNumberFormat="1" applyFont="1" applyBorder="1"/>
    <xf numFmtId="1" fontId="6" fillId="2" borderId="8" xfId="0" applyNumberFormat="1" applyFont="1" applyFill="1" applyBorder="1" applyAlignment="1"/>
    <xf numFmtId="1" fontId="6" fillId="2" borderId="15" xfId="0" applyNumberFormat="1" applyFont="1" applyFill="1" applyBorder="1" applyAlignment="1"/>
    <xf numFmtId="1" fontId="6" fillId="2" borderId="9" xfId="0" applyNumberFormat="1" applyFont="1" applyFill="1" applyBorder="1" applyAlignment="1"/>
    <xf numFmtId="1" fontId="6" fillId="2" borderId="14" xfId="0" applyNumberFormat="1" applyFont="1" applyFill="1" applyBorder="1" applyAlignment="1"/>
    <xf numFmtId="1" fontId="6" fillId="2" borderId="10" xfId="0" applyNumberFormat="1" applyFont="1" applyFill="1" applyBorder="1" applyAlignment="1"/>
    <xf numFmtId="1" fontId="6" fillId="2" borderId="13" xfId="0" applyNumberFormat="1" applyFont="1" applyFill="1" applyBorder="1" applyAlignment="1"/>
    <xf numFmtId="1" fontId="6" fillId="3" borderId="7" xfId="0" applyNumberFormat="1" applyFont="1" applyFill="1" applyBorder="1" applyAlignment="1"/>
    <xf numFmtId="1" fontId="6" fillId="3" borderId="13" xfId="0" applyNumberFormat="1" applyFont="1" applyFill="1" applyBorder="1" applyAlignment="1"/>
    <xf numFmtId="1" fontId="6" fillId="3" borderId="17" xfId="0" applyNumberFormat="1" applyFont="1" applyFill="1" applyBorder="1" applyAlignment="1"/>
    <xf numFmtId="1" fontId="6" fillId="3" borderId="14" xfId="0" applyNumberFormat="1" applyFont="1" applyFill="1" applyBorder="1" applyAlignment="1"/>
    <xf numFmtId="1" fontId="6" fillId="3" borderId="16" xfId="0" applyNumberFormat="1" applyFont="1" applyFill="1" applyBorder="1" applyAlignment="1"/>
    <xf numFmtId="1" fontId="6" fillId="3" borderId="15" xfId="0" applyNumberFormat="1" applyFont="1" applyFill="1" applyBorder="1" applyAlignment="1"/>
    <xf numFmtId="1" fontId="6" fillId="7" borderId="16" xfId="0" applyNumberFormat="1" applyFont="1" applyFill="1" applyBorder="1" applyAlignment="1"/>
    <xf numFmtId="1" fontId="6" fillId="7" borderId="15" xfId="0" applyNumberFormat="1" applyFont="1" applyFill="1" applyBorder="1" applyAlignment="1"/>
    <xf numFmtId="1" fontId="6" fillId="7" borderId="17" xfId="0" applyNumberFormat="1" applyFont="1" applyFill="1" applyBorder="1" applyAlignment="1"/>
    <xf numFmtId="1" fontId="6" fillId="7" borderId="14" xfId="0" applyNumberFormat="1" applyFont="1" applyFill="1" applyBorder="1" applyAlignment="1"/>
    <xf numFmtId="1" fontId="6" fillId="7" borderId="7" xfId="0" applyNumberFormat="1" applyFont="1" applyFill="1" applyBorder="1" applyAlignment="1"/>
    <xf numFmtId="1" fontId="6" fillId="7" borderId="13" xfId="0" applyNumberFormat="1" applyFont="1" applyFill="1" applyBorder="1" applyAlignment="1"/>
    <xf numFmtId="0" fontId="12" fillId="0" borderId="0" xfId="0" applyFont="1"/>
    <xf numFmtId="9" fontId="2" fillId="0" borderId="0" xfId="1" applyFont="1"/>
    <xf numFmtId="1" fontId="8" fillId="6" borderId="58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center"/>
    </xf>
    <xf numFmtId="1" fontId="6" fillId="4" borderId="59" xfId="0" applyNumberFormat="1" applyFont="1" applyFill="1" applyBorder="1" applyAlignment="1">
      <alignment horizontal="center"/>
    </xf>
    <xf numFmtId="1" fontId="6" fillId="4" borderId="0" xfId="0" applyNumberFormat="1" applyFont="1" applyFill="1" applyAlignment="1">
      <alignment horizontal="center"/>
    </xf>
    <xf numFmtId="1" fontId="6" fillId="4" borderId="24" xfId="0" applyNumberFormat="1" applyFont="1" applyFill="1" applyBorder="1" applyAlignment="1">
      <alignment horizontal="center"/>
    </xf>
    <xf numFmtId="1" fontId="6" fillId="4" borderId="26" xfId="0" applyNumberFormat="1" applyFont="1" applyFill="1" applyBorder="1" applyAlignment="1">
      <alignment horizontal="center"/>
    </xf>
    <xf numFmtId="1" fontId="1" fillId="11" borderId="0" xfId="3" applyNumberFormat="1" applyFill="1" applyBorder="1" applyAlignment="1"/>
    <xf numFmtId="1" fontId="2" fillId="11" borderId="0" xfId="0" applyNumberFormat="1" applyFont="1" applyFill="1"/>
    <xf numFmtId="1" fontId="2" fillId="11" borderId="0" xfId="0" applyNumberFormat="1" applyFont="1" applyFill="1" applyBorder="1"/>
    <xf numFmtId="1" fontId="6" fillId="4" borderId="0" xfId="0" applyNumberFormat="1" applyFont="1" applyFill="1" applyBorder="1" applyAlignment="1">
      <alignment horizontal="center"/>
    </xf>
    <xf numFmtId="1" fontId="6" fillId="4" borderId="60" xfId="0" applyNumberFormat="1" applyFont="1" applyFill="1" applyBorder="1" applyAlignment="1">
      <alignment horizontal="center"/>
    </xf>
    <xf numFmtId="1" fontId="6" fillId="4" borderId="21" xfId="0" applyNumberFormat="1" applyFont="1" applyFill="1" applyBorder="1" applyAlignment="1">
      <alignment horizontal="center"/>
    </xf>
    <xf numFmtId="1" fontId="2" fillId="0" borderId="0" xfId="0" applyNumberFormat="1" applyFont="1" applyAlignment="1"/>
    <xf numFmtId="49" fontId="2" fillId="0" borderId="0" xfId="0" applyNumberFormat="1" applyFont="1" applyAlignment="1"/>
    <xf numFmtId="0" fontId="0" fillId="4" borderId="0" xfId="0" applyFill="1"/>
    <xf numFmtId="49" fontId="2" fillId="0" borderId="0" xfId="0" applyNumberFormat="1" applyFont="1"/>
    <xf numFmtId="14" fontId="0" fillId="0" borderId="0" xfId="0" applyNumberFormat="1"/>
    <xf numFmtId="1" fontId="6" fillId="7" borderId="31" xfId="0" applyNumberFormat="1" applyFont="1" applyFill="1" applyBorder="1" applyAlignment="1"/>
    <xf numFmtId="1" fontId="6" fillId="7" borderId="29" xfId="0" applyNumberFormat="1" applyFont="1" applyFill="1" applyBorder="1" applyAlignment="1"/>
    <xf numFmtId="1" fontId="6" fillId="3" borderId="29" xfId="0" applyNumberFormat="1" applyFont="1" applyFill="1" applyBorder="1" applyAlignment="1"/>
    <xf numFmtId="1" fontId="6" fillId="3" borderId="31" xfId="0" applyNumberFormat="1" applyFont="1" applyFill="1" applyBorder="1" applyAlignment="1"/>
    <xf numFmtId="1" fontId="2" fillId="2" borderId="15" xfId="0" applyNumberFormat="1" applyFont="1" applyFill="1" applyBorder="1" applyAlignment="1"/>
    <xf numFmtId="1" fontId="6" fillId="3" borderId="30" xfId="0" applyNumberFormat="1" applyFont="1" applyFill="1" applyBorder="1" applyAlignment="1"/>
    <xf numFmtId="1" fontId="6" fillId="3" borderId="21" xfId="0" applyNumberFormat="1" applyFont="1" applyFill="1" applyBorder="1" applyAlignment="1"/>
    <xf numFmtId="1" fontId="6" fillId="3" borderId="26" xfId="0" applyNumberFormat="1" applyFont="1" applyFill="1" applyBorder="1" applyAlignment="1"/>
    <xf numFmtId="1" fontId="6" fillId="3" borderId="1" xfId="0" applyNumberFormat="1" applyFont="1" applyFill="1" applyBorder="1" applyAlignment="1"/>
    <xf numFmtId="1" fontId="6" fillId="3" borderId="59" xfId="0" applyNumberFormat="1" applyFont="1" applyFill="1" applyBorder="1" applyAlignment="1"/>
    <xf numFmtId="1" fontId="3" fillId="2" borderId="13" xfId="0" applyNumberFormat="1" applyFont="1" applyFill="1" applyBorder="1" applyAlignment="1"/>
    <xf numFmtId="1" fontId="3" fillId="2" borderId="14" xfId="0" applyNumberFormat="1" applyFont="1" applyFill="1" applyBorder="1" applyAlignment="1"/>
    <xf numFmtId="0" fontId="19" fillId="0" borderId="0" xfId="0" applyFont="1"/>
    <xf numFmtId="1" fontId="20" fillId="2" borderId="11" xfId="0" applyNumberFormat="1" applyFont="1" applyFill="1" applyBorder="1" applyAlignment="1" applyProtection="1"/>
    <xf numFmtId="1" fontId="6" fillId="2" borderId="11" xfId="0" applyNumberFormat="1" applyFont="1" applyFill="1" applyBorder="1" applyAlignment="1"/>
    <xf numFmtId="1" fontId="6" fillId="2" borderId="13" xfId="0" applyNumberFormat="1" applyFont="1" applyFill="1" applyBorder="1" applyAlignment="1" applyProtection="1"/>
    <xf numFmtId="1" fontId="6" fillId="3" borderId="7" xfId="0" applyNumberFormat="1" applyFont="1" applyFill="1" applyBorder="1" applyAlignment="1" applyProtection="1"/>
    <xf numFmtId="1" fontId="6" fillId="3" borderId="13" xfId="0" applyNumberFormat="1" applyFont="1" applyFill="1" applyBorder="1" applyAlignment="1" applyProtection="1"/>
    <xf numFmtId="1" fontId="6" fillId="7" borderId="7" xfId="0" applyNumberFormat="1" applyFont="1" applyFill="1" applyBorder="1" applyAlignment="1" applyProtection="1"/>
    <xf numFmtId="1" fontId="6" fillId="7" borderId="20" xfId="0" applyNumberFormat="1" applyFont="1" applyFill="1" applyBorder="1" applyAlignment="1" applyProtection="1"/>
    <xf numFmtId="1" fontId="6" fillId="2" borderId="12" xfId="0" applyNumberFormat="1" applyFont="1" applyFill="1" applyBorder="1" applyAlignment="1">
      <alignment horizontal="center"/>
    </xf>
    <xf numFmtId="1" fontId="6" fillId="3" borderId="7" xfId="0" applyNumberFormat="1" applyFont="1" applyFill="1" applyBorder="1" applyAlignment="1">
      <alignment horizontal="center"/>
    </xf>
    <xf numFmtId="1" fontId="3" fillId="3" borderId="20" xfId="0" applyNumberFormat="1" applyFont="1" applyFill="1" applyBorder="1" applyAlignment="1">
      <alignment horizontal="center"/>
    </xf>
    <xf numFmtId="1" fontId="6" fillId="7" borderId="17" xfId="0" applyNumberFormat="1" applyFont="1" applyFill="1" applyBorder="1" applyAlignment="1">
      <alignment horizontal="center"/>
    </xf>
    <xf numFmtId="1" fontId="3" fillId="7" borderId="37" xfId="0" applyNumberFormat="1" applyFont="1" applyFill="1" applyBorder="1" applyAlignment="1">
      <alignment horizontal="center"/>
    </xf>
    <xf numFmtId="1" fontId="6" fillId="2" borderId="42" xfId="0" applyNumberFormat="1" applyFont="1" applyFill="1" applyBorder="1" applyAlignment="1">
      <alignment horizontal="center"/>
    </xf>
    <xf numFmtId="1" fontId="6" fillId="7" borderId="37" xfId="0" applyNumberFormat="1" applyFont="1" applyFill="1" applyBorder="1" applyAlignment="1">
      <alignment horizontal="center"/>
    </xf>
    <xf numFmtId="1" fontId="16" fillId="13" borderId="71" xfId="4" applyNumberFormat="1" applyFill="1" applyBorder="1" applyAlignment="1">
      <alignment horizontal="center"/>
    </xf>
    <xf numFmtId="1" fontId="16" fillId="13" borderId="72" xfId="4" applyNumberFormat="1" applyFill="1" applyBorder="1" applyAlignment="1">
      <alignment horizontal="center"/>
    </xf>
    <xf numFmtId="1" fontId="2" fillId="0" borderId="22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49" fontId="18" fillId="10" borderId="66" xfId="3" applyNumberFormat="1" applyFont="1" applyBorder="1" applyAlignment="1">
      <alignment horizontal="center"/>
    </xf>
    <xf numFmtId="49" fontId="18" fillId="10" borderId="67" xfId="3" applyNumberFormat="1" applyFont="1" applyBorder="1" applyAlignment="1">
      <alignment horizontal="center"/>
    </xf>
    <xf numFmtId="49" fontId="18" fillId="10" borderId="61" xfId="3" applyNumberFormat="1" applyFont="1" applyBorder="1" applyAlignment="1">
      <alignment horizontal="center"/>
    </xf>
    <xf numFmtId="49" fontId="18" fillId="10" borderId="63" xfId="3" applyNumberFormat="1" applyFont="1" applyBorder="1" applyAlignment="1">
      <alignment horizontal="center"/>
    </xf>
    <xf numFmtId="14" fontId="16" fillId="12" borderId="61" xfId="4" applyNumberFormat="1" applyBorder="1" applyAlignment="1">
      <alignment horizontal="center"/>
    </xf>
    <xf numFmtId="0" fontId="16" fillId="12" borderId="62" xfId="4" applyNumberFormat="1" applyBorder="1" applyAlignment="1">
      <alignment horizontal="center"/>
    </xf>
    <xf numFmtId="1" fontId="2" fillId="0" borderId="0" xfId="0" applyNumberFormat="1" applyFont="1" applyAlignment="1">
      <alignment horizontal="center"/>
    </xf>
    <xf numFmtId="49" fontId="18" fillId="10" borderId="68" xfId="3" applyNumberFormat="1" applyFont="1" applyBorder="1" applyAlignment="1">
      <alignment horizontal="center"/>
    </xf>
    <xf numFmtId="49" fontId="18" fillId="10" borderId="65" xfId="3" applyNumberFormat="1" applyFont="1" applyBorder="1" applyAlignment="1">
      <alignment horizontal="center"/>
    </xf>
    <xf numFmtId="1" fontId="15" fillId="10" borderId="38" xfId="3" applyNumberFormat="1" applyFont="1" applyBorder="1" applyAlignment="1">
      <alignment horizontal="center"/>
    </xf>
    <xf numFmtId="1" fontId="15" fillId="10" borderId="39" xfId="3" applyNumberFormat="1" applyFont="1" applyBorder="1" applyAlignment="1">
      <alignment horizontal="center"/>
    </xf>
    <xf numFmtId="1" fontId="15" fillId="10" borderId="42" xfId="3" applyNumberFormat="1" applyFont="1" applyBorder="1" applyAlignment="1">
      <alignment horizontal="center"/>
    </xf>
    <xf numFmtId="1" fontId="15" fillId="10" borderId="22" xfId="3" applyNumberFormat="1" applyFont="1" applyBorder="1" applyAlignment="1">
      <alignment horizontal="center"/>
    </xf>
    <xf numFmtId="1" fontId="15" fillId="10" borderId="0" xfId="3" applyNumberFormat="1" applyFont="1" applyBorder="1" applyAlignment="1">
      <alignment horizontal="center"/>
    </xf>
    <xf numFmtId="1" fontId="15" fillId="10" borderId="43" xfId="3" applyNumberFormat="1" applyFont="1" applyBorder="1" applyAlignment="1">
      <alignment horizontal="center"/>
    </xf>
    <xf numFmtId="1" fontId="15" fillId="10" borderId="26" xfId="3" applyNumberFormat="1" applyFont="1" applyBorder="1" applyAlignment="1">
      <alignment horizontal="center"/>
    </xf>
    <xf numFmtId="1" fontId="15" fillId="10" borderId="27" xfId="3" applyNumberFormat="1" applyFont="1" applyBorder="1" applyAlignment="1">
      <alignment horizontal="center"/>
    </xf>
    <xf numFmtId="1" fontId="15" fillId="10" borderId="28" xfId="3" applyNumberFormat="1" applyFont="1" applyBorder="1" applyAlignment="1">
      <alignment horizontal="center"/>
    </xf>
    <xf numFmtId="1" fontId="14" fillId="9" borderId="44" xfId="2" applyNumberFormat="1" applyFont="1" applyBorder="1" applyAlignment="1">
      <alignment horizontal="center"/>
    </xf>
    <xf numFmtId="1" fontId="14" fillId="9" borderId="45" xfId="2" applyNumberFormat="1" applyFont="1" applyBorder="1" applyAlignment="1">
      <alignment horizontal="center"/>
    </xf>
    <xf numFmtId="1" fontId="14" fillId="9" borderId="46" xfId="2" applyNumberFormat="1" applyFont="1" applyBorder="1" applyAlignment="1">
      <alignment horizontal="center"/>
    </xf>
    <xf numFmtId="1" fontId="14" fillId="9" borderId="47" xfId="2" applyNumberFormat="1" applyFont="1" applyBorder="1" applyAlignment="1">
      <alignment horizontal="center"/>
    </xf>
    <xf numFmtId="1" fontId="14" fillId="9" borderId="48" xfId="2" applyNumberFormat="1" applyFont="1" applyBorder="1" applyAlignment="1">
      <alignment horizontal="center"/>
    </xf>
    <xf numFmtId="1" fontId="14" fillId="9" borderId="49" xfId="2" applyNumberFormat="1" applyFont="1" applyBorder="1" applyAlignment="1">
      <alignment horizontal="center"/>
    </xf>
    <xf numFmtId="1" fontId="4" fillId="4" borderId="21" xfId="0" applyNumberFormat="1" applyFont="1" applyFill="1" applyBorder="1" applyAlignment="1">
      <alignment horizontal="center"/>
    </xf>
    <xf numFmtId="1" fontId="4" fillId="4" borderId="2" xfId="0" applyNumberFormat="1" applyFont="1" applyFill="1" applyBorder="1" applyAlignment="1">
      <alignment horizontal="center"/>
    </xf>
    <xf numFmtId="1" fontId="4" fillId="4" borderId="23" xfId="0" applyNumberFormat="1" applyFont="1" applyFill="1" applyBorder="1" applyAlignment="1">
      <alignment horizontal="center"/>
    </xf>
    <xf numFmtId="1" fontId="4" fillId="4" borderId="26" xfId="0" applyNumberFormat="1" applyFont="1" applyFill="1" applyBorder="1" applyAlignment="1">
      <alignment horizontal="center"/>
    </xf>
    <xf numFmtId="1" fontId="4" fillId="4" borderId="27" xfId="0" applyNumberFormat="1" applyFont="1" applyFill="1" applyBorder="1" applyAlignment="1">
      <alignment horizontal="center"/>
    </xf>
    <xf numFmtId="1" fontId="4" fillId="4" borderId="28" xfId="0" applyNumberFormat="1" applyFont="1" applyFill="1" applyBorder="1" applyAlignment="1">
      <alignment horizontal="center"/>
    </xf>
    <xf numFmtId="1" fontId="15" fillId="10" borderId="50" xfId="3" applyNumberFormat="1" applyFont="1" applyBorder="1" applyAlignment="1" applyProtection="1">
      <alignment horizontal="center"/>
    </xf>
    <xf numFmtId="0" fontId="15" fillId="10" borderId="51" xfId="3" applyNumberFormat="1" applyFont="1" applyBorder="1" applyAlignment="1" applyProtection="1">
      <alignment horizontal="center"/>
    </xf>
    <xf numFmtId="0" fontId="15" fillId="10" borderId="52" xfId="3" applyNumberFormat="1" applyFont="1" applyBorder="1" applyAlignment="1" applyProtection="1">
      <alignment horizontal="center"/>
    </xf>
    <xf numFmtId="0" fontId="15" fillId="10" borderId="53" xfId="3" applyNumberFormat="1" applyFont="1" applyBorder="1" applyAlignment="1" applyProtection="1">
      <alignment horizontal="center"/>
    </xf>
    <xf numFmtId="0" fontId="15" fillId="10" borderId="40" xfId="3" applyNumberFormat="1" applyFont="1" applyBorder="1" applyAlignment="1" applyProtection="1">
      <alignment horizontal="center"/>
    </xf>
    <xf numFmtId="0" fontId="15" fillId="10" borderId="54" xfId="3" applyNumberFormat="1" applyFont="1" applyBorder="1" applyAlignment="1" applyProtection="1">
      <alignment horizontal="center"/>
    </xf>
    <xf numFmtId="0" fontId="15" fillId="10" borderId="55" xfId="3" applyNumberFormat="1" applyFont="1" applyBorder="1" applyAlignment="1" applyProtection="1">
      <alignment horizontal="center"/>
    </xf>
    <xf numFmtId="0" fontId="15" fillId="10" borderId="56" xfId="3" applyNumberFormat="1" applyFont="1" applyBorder="1" applyAlignment="1" applyProtection="1">
      <alignment horizontal="center"/>
    </xf>
    <xf numFmtId="0" fontId="15" fillId="10" borderId="57" xfId="3" applyNumberFormat="1" applyFont="1" applyBorder="1" applyAlignment="1" applyProtection="1">
      <alignment horizontal="center"/>
    </xf>
    <xf numFmtId="1" fontId="15" fillId="10" borderId="50" xfId="3" applyNumberFormat="1" applyFont="1" applyBorder="1" applyAlignment="1">
      <alignment horizontal="center"/>
    </xf>
    <xf numFmtId="1" fontId="15" fillId="10" borderId="51" xfId="3" applyNumberFormat="1" applyFont="1" applyBorder="1" applyAlignment="1">
      <alignment horizontal="center"/>
    </xf>
    <xf numFmtId="1" fontId="15" fillId="10" borderId="52" xfId="3" applyNumberFormat="1" applyFont="1" applyBorder="1" applyAlignment="1">
      <alignment horizontal="center"/>
    </xf>
    <xf numFmtId="1" fontId="15" fillId="10" borderId="53" xfId="3" applyNumberFormat="1" applyFont="1" applyBorder="1" applyAlignment="1">
      <alignment horizontal="center"/>
    </xf>
    <xf numFmtId="1" fontId="15" fillId="10" borderId="40" xfId="3" applyNumberFormat="1" applyFont="1" applyBorder="1" applyAlignment="1">
      <alignment horizontal="center"/>
    </xf>
    <xf numFmtId="1" fontId="15" fillId="10" borderId="54" xfId="3" applyNumberFormat="1" applyFont="1" applyBorder="1" applyAlignment="1">
      <alignment horizontal="center"/>
    </xf>
    <xf numFmtId="1" fontId="15" fillId="10" borderId="55" xfId="3" applyNumberFormat="1" applyFont="1" applyBorder="1" applyAlignment="1">
      <alignment horizontal="center"/>
    </xf>
    <xf numFmtId="1" fontId="15" fillId="10" borderId="56" xfId="3" applyNumberFormat="1" applyFont="1" applyBorder="1" applyAlignment="1">
      <alignment horizontal="center"/>
    </xf>
    <xf numFmtId="1" fontId="15" fillId="10" borderId="57" xfId="3" applyNumberFormat="1" applyFont="1" applyBorder="1" applyAlignment="1">
      <alignment horizontal="center"/>
    </xf>
    <xf numFmtId="49" fontId="17" fillId="9" borderId="44" xfId="2" applyNumberFormat="1" applyFont="1" applyBorder="1" applyAlignment="1">
      <alignment horizontal="center"/>
    </xf>
    <xf numFmtId="49" fontId="17" fillId="9" borderId="46" xfId="2" applyNumberFormat="1" applyFont="1" applyBorder="1" applyAlignment="1">
      <alignment horizontal="center"/>
    </xf>
    <xf numFmtId="49" fontId="17" fillId="9" borderId="69" xfId="2" applyNumberFormat="1" applyFont="1" applyBorder="1" applyAlignment="1">
      <alignment horizontal="center"/>
    </xf>
    <xf numFmtId="49" fontId="17" fillId="9" borderId="70" xfId="2" applyNumberFormat="1" applyFont="1" applyBorder="1" applyAlignment="1">
      <alignment horizontal="center"/>
    </xf>
    <xf numFmtId="49" fontId="17" fillId="9" borderId="47" xfId="2" applyNumberFormat="1" applyFont="1" applyBorder="1" applyAlignment="1">
      <alignment horizontal="center"/>
    </xf>
    <xf numFmtId="49" fontId="17" fillId="9" borderId="49" xfId="2" applyNumberFormat="1" applyFont="1" applyBorder="1" applyAlignment="1">
      <alignment horizontal="center"/>
    </xf>
    <xf numFmtId="1" fontId="16" fillId="13" borderId="64" xfId="4" applyNumberFormat="1" applyFill="1" applyBorder="1" applyAlignment="1">
      <alignment horizontal="center"/>
    </xf>
    <xf numFmtId="1" fontId="16" fillId="12" borderId="65" xfId="4" applyNumberFormat="1" applyBorder="1" applyAlignment="1">
      <alignment horizontal="center"/>
    </xf>
    <xf numFmtId="1" fontId="14" fillId="9" borderId="38" xfId="2" applyNumberFormat="1" applyFont="1" applyBorder="1" applyAlignment="1">
      <alignment horizontal="center"/>
    </xf>
    <xf numFmtId="1" fontId="14" fillId="9" borderId="39" xfId="2" applyNumberFormat="1" applyFont="1" applyBorder="1" applyAlignment="1">
      <alignment horizontal="center"/>
    </xf>
    <xf numFmtId="1" fontId="14" fillId="9" borderId="42" xfId="2" applyNumberFormat="1" applyFont="1" applyBorder="1" applyAlignment="1">
      <alignment horizontal="center"/>
    </xf>
    <xf numFmtId="1" fontId="14" fillId="9" borderId="26" xfId="2" applyNumberFormat="1" applyFont="1" applyBorder="1" applyAlignment="1">
      <alignment horizontal="center"/>
    </xf>
    <xf numFmtId="1" fontId="14" fillId="9" borderId="27" xfId="2" applyNumberFormat="1" applyFont="1" applyBorder="1" applyAlignment="1">
      <alignment horizontal="center"/>
    </xf>
    <xf numFmtId="1" fontId="14" fillId="9" borderId="28" xfId="2" applyNumberFormat="1" applyFont="1" applyBorder="1" applyAlignment="1">
      <alignment horizontal="center"/>
    </xf>
    <xf numFmtId="1" fontId="4" fillId="4" borderId="38" xfId="0" applyNumberFormat="1" applyFont="1" applyFill="1" applyBorder="1" applyAlignment="1">
      <alignment horizontal="center"/>
    </xf>
    <xf numFmtId="1" fontId="4" fillId="4" borderId="39" xfId="0" applyNumberFormat="1" applyFont="1" applyFill="1" applyBorder="1" applyAlignment="1">
      <alignment horizontal="center"/>
    </xf>
    <xf numFmtId="1" fontId="4" fillId="4" borderId="42" xfId="0" applyNumberFormat="1" applyFont="1" applyFill="1" applyBorder="1" applyAlignment="1">
      <alignment horizontal="center"/>
    </xf>
    <xf numFmtId="1" fontId="2" fillId="8" borderId="6" xfId="0" applyNumberFormat="1" applyFont="1" applyFill="1" applyBorder="1" applyAlignment="1">
      <alignment horizontal="center" vertical="center" wrapText="1"/>
    </xf>
    <xf numFmtId="1" fontId="7" fillId="5" borderId="7" xfId="0" applyNumberFormat="1" applyFont="1" applyFill="1" applyBorder="1" applyAlignment="1">
      <alignment horizontal="center" vertical="center"/>
    </xf>
    <xf numFmtId="1" fontId="7" fillId="5" borderId="13" xfId="0" applyNumberFormat="1" applyFont="1" applyFill="1" applyBorder="1" applyAlignment="1">
      <alignment horizontal="center" vertical="center"/>
    </xf>
    <xf numFmtId="1" fontId="7" fillId="5" borderId="1" xfId="0" applyNumberFormat="1" applyFont="1" applyFill="1" applyBorder="1" applyAlignment="1">
      <alignment horizontal="center" vertical="center"/>
    </xf>
    <xf numFmtId="1" fontId="7" fillId="5" borderId="5" xfId="0" applyNumberFormat="1" applyFont="1" applyFill="1" applyBorder="1" applyAlignment="1">
      <alignment horizontal="center" vertical="center"/>
    </xf>
    <xf numFmtId="1" fontId="2" fillId="8" borderId="17" xfId="0" applyNumberFormat="1" applyFont="1" applyFill="1" applyBorder="1" applyAlignment="1">
      <alignment horizontal="center" vertical="center" wrapText="1"/>
    </xf>
    <xf numFmtId="1" fontId="2" fillId="8" borderId="19" xfId="0" applyNumberFormat="1" applyFont="1" applyFill="1" applyBorder="1" applyAlignment="1">
      <alignment horizontal="center" vertical="center" wrapText="1"/>
    </xf>
    <xf numFmtId="1" fontId="2" fillId="8" borderId="14" xfId="0" applyNumberFormat="1" applyFont="1" applyFill="1" applyBorder="1" applyAlignment="1">
      <alignment horizontal="center" vertical="center" wrapText="1"/>
    </xf>
    <xf numFmtId="49" fontId="16" fillId="12" borderId="62" xfId="4" applyNumberFormat="1" applyBorder="1" applyAlignment="1">
      <alignment horizontal="center"/>
    </xf>
    <xf numFmtId="49" fontId="16" fillId="12" borderId="63" xfId="4" applyNumberFormat="1" applyBorder="1" applyAlignment="1">
      <alignment horizontal="center"/>
    </xf>
    <xf numFmtId="49" fontId="16" fillId="12" borderId="61" xfId="4" applyNumberFormat="1" applyBorder="1" applyAlignment="1">
      <alignment horizontal="center"/>
    </xf>
    <xf numFmtId="0" fontId="19" fillId="0" borderId="73" xfId="0" applyFont="1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</cellXfs>
  <cellStyles count="5">
    <cellStyle name="60% - Accent3" xfId="3" builtinId="40"/>
    <cellStyle name="Good" xfId="4" builtinId="26"/>
    <cellStyle name="Normal" xfId="0" builtinId="0"/>
    <cellStyle name="Output" xfId="2" builtinId="21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251365</xdr:colOff>
      <xdr:row>35</xdr:row>
      <xdr:rowOff>12164</xdr:rowOff>
    </xdr:from>
    <xdr:to>
      <xdr:col>19</xdr:col>
      <xdr:colOff>555479</xdr:colOff>
      <xdr:row>50</xdr:row>
      <xdr:rowOff>178171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2686" y="10054235"/>
          <a:ext cx="6446651" cy="27105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1</xdr:row>
          <xdr:rowOff>38100</xdr:rowOff>
        </xdr:from>
        <xdr:to>
          <xdr:col>16</xdr:col>
          <xdr:colOff>365760</xdr:colOff>
          <xdr:row>4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l-PL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Wyszukaj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</xdr:colOff>
          <xdr:row>1</xdr:row>
          <xdr:rowOff>38100</xdr:rowOff>
        </xdr:from>
        <xdr:to>
          <xdr:col>20</xdr:col>
          <xdr:colOff>335280</xdr:colOff>
          <xdr:row>4</xdr:row>
          <xdr:rowOff>91440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Pobierz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pageSetUpPr fitToPage="1"/>
  </sheetPr>
  <dimension ref="A1:AN735"/>
  <sheetViews>
    <sheetView showGridLines="0" zoomScale="70" zoomScaleNormal="70" zoomScaleSheetLayoutView="70" zoomScalePageLayoutView="55" workbookViewId="0">
      <selection activeCell="O9" sqref="O9"/>
    </sheetView>
  </sheetViews>
  <sheetFormatPr defaultColWidth="9.109375" defaultRowHeight="14.4" x14ac:dyDescent="0.3"/>
  <cols>
    <col min="1" max="1" width="9.44140625" style="5" customWidth="1"/>
    <col min="2" max="2" width="5.5546875" style="5" customWidth="1"/>
    <col min="3" max="3" width="11.44140625" style="5" customWidth="1"/>
    <col min="4" max="4" width="11.33203125" style="5" customWidth="1"/>
    <col min="5" max="5" width="11.5546875" style="5" customWidth="1"/>
    <col min="6" max="16" width="11.44140625" style="5" customWidth="1"/>
    <col min="17" max="27" width="11.5546875" style="5" customWidth="1"/>
    <col min="28" max="28" width="11.44140625" style="5" customWidth="1"/>
    <col min="29" max="29" width="11.6640625" style="5" customWidth="1"/>
    <col min="30" max="30" width="11.5546875" style="5" customWidth="1"/>
    <col min="31" max="33" width="11.44140625" style="5" customWidth="1"/>
    <col min="34" max="34" width="11.88671875" style="5" customWidth="1"/>
    <col min="35" max="36" width="0" style="5" hidden="1" customWidth="1"/>
    <col min="37" max="39" width="9.109375" style="5"/>
    <col min="40" max="40" width="9.109375" style="5" hidden="1" customWidth="1"/>
    <col min="41" max="16384" width="9.109375" style="5"/>
  </cols>
  <sheetData>
    <row r="1" spans="1:40" x14ac:dyDescent="0.3">
      <c r="A1" s="4"/>
      <c r="I1" s="81"/>
      <c r="T1" s="5" t="s">
        <v>756</v>
      </c>
    </row>
    <row r="2" spans="1:40" x14ac:dyDescent="0.3">
      <c r="A2" s="4"/>
      <c r="I2" s="81"/>
    </row>
    <row r="3" spans="1:40" x14ac:dyDescent="0.3">
      <c r="A3" s="6"/>
      <c r="H3" s="47"/>
      <c r="I3" s="81"/>
    </row>
    <row r="5" spans="1:40" ht="15" thickBot="1" x14ac:dyDescent="0.35"/>
    <row r="6" spans="1:40" ht="23.25" customHeight="1" x14ac:dyDescent="0.4">
      <c r="A6" s="187" t="s">
        <v>10</v>
      </c>
      <c r="B6" s="183" t="s">
        <v>0</v>
      </c>
      <c r="C6" s="49"/>
      <c r="D6" s="51"/>
      <c r="E6" s="51"/>
      <c r="F6" s="99"/>
      <c r="G6" s="49"/>
      <c r="H6" s="51"/>
      <c r="I6" s="51"/>
      <c r="J6" s="100"/>
      <c r="K6" s="49"/>
      <c r="L6" s="51"/>
      <c r="M6" s="51"/>
      <c r="N6" s="53"/>
      <c r="O6" s="49" t="s">
        <v>749</v>
      </c>
      <c r="P6" s="51" t="s">
        <v>749</v>
      </c>
      <c r="Q6" s="51" t="s">
        <v>749</v>
      </c>
      <c r="R6" s="53"/>
      <c r="S6" s="49" t="s">
        <v>749</v>
      </c>
      <c r="T6" s="51" t="s">
        <v>749</v>
      </c>
      <c r="U6" s="51" t="s">
        <v>749</v>
      </c>
      <c r="V6" s="53"/>
      <c r="W6" s="49" t="s">
        <v>749</v>
      </c>
      <c r="X6" s="51" t="s">
        <v>749</v>
      </c>
      <c r="Y6" s="51" t="s">
        <v>749</v>
      </c>
      <c r="Z6" s="53"/>
      <c r="AA6" s="49" t="s">
        <v>749</v>
      </c>
      <c r="AB6" s="51" t="s">
        <v>749</v>
      </c>
      <c r="AC6" s="51" t="s">
        <v>749</v>
      </c>
      <c r="AD6" s="53"/>
      <c r="AE6" s="49" t="s">
        <v>749</v>
      </c>
      <c r="AF6" s="51"/>
      <c r="AG6" s="51"/>
      <c r="AH6" s="53"/>
      <c r="AI6" s="115"/>
      <c r="AJ6" s="116"/>
      <c r="AN6" s="53"/>
    </row>
    <row r="7" spans="1:40" ht="23.25" customHeight="1" x14ac:dyDescent="0.4">
      <c r="A7" s="188"/>
      <c r="B7" s="184"/>
      <c r="C7" s="50"/>
      <c r="D7" s="52"/>
      <c r="E7" s="52"/>
      <c r="F7" s="101"/>
      <c r="G7" s="50"/>
      <c r="H7" s="52"/>
      <c r="I7" s="52"/>
      <c r="J7" s="54"/>
      <c r="K7" s="50"/>
      <c r="L7" s="52"/>
      <c r="M7" s="52"/>
      <c r="N7" s="54"/>
      <c r="O7" s="50"/>
      <c r="P7" s="52"/>
      <c r="Q7" s="52"/>
      <c r="R7" s="54"/>
      <c r="S7" s="50"/>
      <c r="T7" s="52"/>
      <c r="U7" s="52"/>
      <c r="V7" s="54"/>
      <c r="W7" s="50"/>
      <c r="X7" s="52"/>
      <c r="Y7" s="52"/>
      <c r="Z7" s="54"/>
      <c r="AA7" s="50"/>
      <c r="AB7" s="52"/>
      <c r="AC7" s="52"/>
      <c r="AD7" s="54"/>
      <c r="AE7" s="50"/>
      <c r="AF7" s="52"/>
      <c r="AG7" s="52"/>
      <c r="AH7" s="54"/>
      <c r="AJ7" s="4"/>
      <c r="AN7" s="54"/>
    </row>
    <row r="8" spans="1:40" ht="23.25" customHeight="1" x14ac:dyDescent="0.4">
      <c r="A8" s="188"/>
      <c r="B8" s="183" t="s">
        <v>1</v>
      </c>
      <c r="C8" s="59"/>
      <c r="D8" s="57"/>
      <c r="E8" s="57"/>
      <c r="F8" s="102"/>
      <c r="G8" s="59"/>
      <c r="H8" s="57"/>
      <c r="I8" s="57"/>
      <c r="J8" s="55"/>
      <c r="K8" s="59"/>
      <c r="L8" s="57"/>
      <c r="M8" s="57"/>
      <c r="N8" s="55"/>
      <c r="O8" s="59" t="s">
        <v>749</v>
      </c>
      <c r="P8" s="57" t="s">
        <v>749</v>
      </c>
      <c r="Q8" s="57" t="s">
        <v>749</v>
      </c>
      <c r="R8" s="55"/>
      <c r="S8" s="59" t="s">
        <v>749</v>
      </c>
      <c r="T8" s="57" t="s">
        <v>749</v>
      </c>
      <c r="U8" s="57" t="s">
        <v>749</v>
      </c>
      <c r="V8" s="55"/>
      <c r="W8" s="59" t="s">
        <v>749</v>
      </c>
      <c r="X8" s="57" t="s">
        <v>749</v>
      </c>
      <c r="Y8" s="57" t="s">
        <v>749</v>
      </c>
      <c r="Z8" s="55"/>
      <c r="AA8" s="59" t="s">
        <v>749</v>
      </c>
      <c r="AB8" s="57" t="s">
        <v>749</v>
      </c>
      <c r="AC8" s="57" t="s">
        <v>749</v>
      </c>
      <c r="AD8" s="55"/>
      <c r="AE8" s="59" t="s">
        <v>749</v>
      </c>
      <c r="AF8" s="57"/>
      <c r="AG8" s="57"/>
      <c r="AH8" s="55"/>
      <c r="AI8" s="115"/>
      <c r="AJ8" s="116"/>
      <c r="AN8" s="55"/>
    </row>
    <row r="9" spans="1:40" ht="23.25" customHeight="1" x14ac:dyDescent="0.4">
      <c r="A9" s="188"/>
      <c r="B9" s="184"/>
      <c r="C9" s="60"/>
      <c r="D9" s="58"/>
      <c r="E9" s="58"/>
      <c r="F9" s="103"/>
      <c r="G9" s="60"/>
      <c r="H9" s="58"/>
      <c r="I9" s="58"/>
      <c r="J9" s="56"/>
      <c r="K9" s="60"/>
      <c r="L9" s="58"/>
      <c r="M9" s="58" t="s">
        <v>749</v>
      </c>
      <c r="N9" s="56"/>
      <c r="O9" s="60"/>
      <c r="P9" s="58"/>
      <c r="Q9" s="58"/>
      <c r="R9" s="56"/>
      <c r="S9" s="60"/>
      <c r="T9" s="58"/>
      <c r="U9" s="58"/>
      <c r="V9" s="56"/>
      <c r="W9" s="60"/>
      <c r="X9" s="58"/>
      <c r="Y9" s="58"/>
      <c r="Z9" s="56"/>
      <c r="AA9" s="60"/>
      <c r="AB9" s="58"/>
      <c r="AC9" s="58"/>
      <c r="AD9" s="56"/>
      <c r="AE9" s="60"/>
      <c r="AF9" s="58"/>
      <c r="AG9" s="58"/>
      <c r="AH9" s="56"/>
      <c r="AN9" s="56"/>
    </row>
    <row r="10" spans="1:40" ht="23.25" customHeight="1" x14ac:dyDescent="0.4">
      <c r="A10" s="188"/>
      <c r="B10" s="183" t="s">
        <v>2</v>
      </c>
      <c r="C10" s="61"/>
      <c r="D10" s="63"/>
      <c r="E10" s="63"/>
      <c r="F10" s="104"/>
      <c r="G10" s="61"/>
      <c r="H10" s="63"/>
      <c r="I10" s="63"/>
      <c r="J10" s="65"/>
      <c r="K10" s="61"/>
      <c r="L10" s="63"/>
      <c r="M10" s="63"/>
      <c r="N10" s="65"/>
      <c r="O10" s="61" t="s">
        <v>749</v>
      </c>
      <c r="P10" s="63" t="s">
        <v>749</v>
      </c>
      <c r="Q10" s="63" t="s">
        <v>749</v>
      </c>
      <c r="R10" s="65"/>
      <c r="S10" s="61" t="s">
        <v>749</v>
      </c>
      <c r="T10" s="63" t="s">
        <v>749</v>
      </c>
      <c r="U10" s="63" t="s">
        <v>749</v>
      </c>
      <c r="V10" s="65"/>
      <c r="W10" s="61" t="s">
        <v>749</v>
      </c>
      <c r="X10" s="63" t="s">
        <v>749</v>
      </c>
      <c r="Y10" s="63" t="s">
        <v>749</v>
      </c>
      <c r="Z10" s="65"/>
      <c r="AA10" s="61" t="s">
        <v>749</v>
      </c>
      <c r="AB10" s="63" t="s">
        <v>749</v>
      </c>
      <c r="AC10" s="63" t="s">
        <v>749</v>
      </c>
      <c r="AD10" s="65"/>
      <c r="AE10" s="61" t="s">
        <v>749</v>
      </c>
      <c r="AF10" s="63" t="s">
        <v>749</v>
      </c>
      <c r="AG10" s="63" t="s">
        <v>749</v>
      </c>
      <c r="AH10" s="65"/>
      <c r="AI10" s="115"/>
      <c r="AJ10" s="116"/>
      <c r="AN10" s="65"/>
    </row>
    <row r="11" spans="1:40" ht="23.25" customHeight="1" thickBot="1" x14ac:dyDescent="0.45">
      <c r="A11" s="188"/>
      <c r="B11" s="184"/>
      <c r="C11" s="86"/>
      <c r="D11" s="87"/>
      <c r="E11" s="87"/>
      <c r="F11" s="105"/>
      <c r="G11" s="62"/>
      <c r="H11" s="64"/>
      <c r="I11" s="64"/>
      <c r="J11" s="66"/>
      <c r="K11" s="62"/>
      <c r="L11" s="64"/>
      <c r="M11" s="64"/>
      <c r="N11" s="66"/>
      <c r="O11" s="62"/>
      <c r="P11" s="64"/>
      <c r="Q11" s="64"/>
      <c r="R11" s="66"/>
      <c r="S11" s="62"/>
      <c r="T11" s="64"/>
      <c r="U11" s="64"/>
      <c r="V11" s="66"/>
      <c r="W11" s="62"/>
      <c r="X11" s="64"/>
      <c r="Y11" s="64"/>
      <c r="Z11" s="66"/>
      <c r="AA11" s="62"/>
      <c r="AB11" s="64"/>
      <c r="AC11" s="64"/>
      <c r="AD11" s="66"/>
      <c r="AE11" s="62"/>
      <c r="AF11" s="64"/>
      <c r="AG11" s="64"/>
      <c r="AH11" s="66"/>
      <c r="AJ11" s="4"/>
      <c r="AN11" s="66"/>
    </row>
    <row r="12" spans="1:40" ht="24" customHeight="1" x14ac:dyDescent="0.4">
      <c r="A12" s="188"/>
      <c r="B12" s="183" t="s">
        <v>3</v>
      </c>
      <c r="C12" s="179" t="s">
        <v>792</v>
      </c>
      <c r="D12" s="180"/>
      <c r="E12" s="180"/>
      <c r="F12" s="181"/>
      <c r="G12" s="80">
        <v>4906051</v>
      </c>
      <c r="H12" s="21">
        <v>4904724</v>
      </c>
      <c r="I12" s="21">
        <v>4902736</v>
      </c>
      <c r="J12" s="10">
        <v>4902764</v>
      </c>
      <c r="K12" s="20">
        <v>4902969</v>
      </c>
      <c r="L12" s="21">
        <v>4908259</v>
      </c>
      <c r="M12" s="21">
        <v>4904718</v>
      </c>
      <c r="N12" s="10">
        <v>4902868</v>
      </c>
      <c r="O12" s="73">
        <v>4903040</v>
      </c>
      <c r="P12" s="9">
        <v>4902852</v>
      </c>
      <c r="Q12" s="21">
        <v>4902736</v>
      </c>
      <c r="R12" s="10">
        <v>4903238</v>
      </c>
      <c r="S12" s="38">
        <v>4908225</v>
      </c>
      <c r="T12" s="9">
        <v>4908256</v>
      </c>
      <c r="U12" s="21">
        <v>4903046</v>
      </c>
      <c r="V12" s="10">
        <v>4908227</v>
      </c>
      <c r="W12" s="11">
        <v>4908256</v>
      </c>
      <c r="X12" s="12">
        <v>4908228</v>
      </c>
      <c r="Y12" s="12">
        <v>4908227</v>
      </c>
      <c r="Z12" s="13">
        <v>4908228</v>
      </c>
      <c r="AA12" s="14">
        <v>4902848</v>
      </c>
      <c r="AB12" s="12">
        <v>4908258</v>
      </c>
      <c r="AC12" s="12">
        <v>4903048</v>
      </c>
      <c r="AD12" s="13"/>
      <c r="AE12" s="11"/>
      <c r="AF12" s="12"/>
      <c r="AG12" s="12"/>
      <c r="AH12" s="13">
        <v>4903046</v>
      </c>
      <c r="AI12" s="115">
        <f>COUNTBLANK(G12:AH13)</f>
        <v>12</v>
      </c>
      <c r="AJ12" s="116"/>
      <c r="AN12" s="13"/>
    </row>
    <row r="13" spans="1:40" ht="24" customHeight="1" thickBot="1" x14ac:dyDescent="0.45">
      <c r="A13" s="189"/>
      <c r="B13" s="184"/>
      <c r="C13" s="144"/>
      <c r="D13" s="145"/>
      <c r="E13" s="145"/>
      <c r="F13" s="146"/>
      <c r="G13" s="17">
        <v>4906051</v>
      </c>
      <c r="H13" s="15">
        <v>4904724</v>
      </c>
      <c r="I13" s="15"/>
      <c r="J13" s="16">
        <v>4902764</v>
      </c>
      <c r="K13" s="17">
        <v>4902969</v>
      </c>
      <c r="L13" s="71">
        <v>4908259</v>
      </c>
      <c r="M13" s="71">
        <v>4904718</v>
      </c>
      <c r="N13" s="16">
        <v>4902868</v>
      </c>
      <c r="O13" s="74">
        <v>4903040</v>
      </c>
      <c r="P13" s="18">
        <v>4903130</v>
      </c>
      <c r="Q13" s="15">
        <v>4902736</v>
      </c>
      <c r="R13" s="16"/>
      <c r="S13" s="19">
        <v>4908225</v>
      </c>
      <c r="T13" s="15">
        <v>4908256</v>
      </c>
      <c r="U13" s="15">
        <v>4903046</v>
      </c>
      <c r="V13" s="16">
        <v>4908227</v>
      </c>
      <c r="W13" s="17">
        <v>4908256</v>
      </c>
      <c r="X13" s="15">
        <v>4908228</v>
      </c>
      <c r="Y13" s="15">
        <v>4908227</v>
      </c>
      <c r="Z13" s="16">
        <v>4908228</v>
      </c>
      <c r="AA13" s="19"/>
      <c r="AB13" s="15">
        <v>4908258</v>
      </c>
      <c r="AC13" s="15"/>
      <c r="AD13" s="16"/>
      <c r="AE13" s="17"/>
      <c r="AF13" s="15"/>
      <c r="AG13" s="15"/>
      <c r="AH13" s="16">
        <v>4903046</v>
      </c>
      <c r="AI13" s="115"/>
      <c r="AJ13" s="116"/>
      <c r="AN13" s="16"/>
    </row>
    <row r="14" spans="1:40" ht="29.4" thickBot="1" x14ac:dyDescent="0.6">
      <c r="A14" s="1"/>
      <c r="B14" s="23"/>
      <c r="C14" s="24">
        <v>1</v>
      </c>
      <c r="D14" s="25">
        <v>2</v>
      </c>
      <c r="E14" s="25">
        <v>3</v>
      </c>
      <c r="F14" s="26">
        <v>4</v>
      </c>
      <c r="G14" s="27">
        <v>5</v>
      </c>
      <c r="H14" s="25">
        <v>6</v>
      </c>
      <c r="I14" s="25">
        <v>7</v>
      </c>
      <c r="J14" s="26">
        <v>8</v>
      </c>
      <c r="K14" s="27">
        <v>9</v>
      </c>
      <c r="L14" s="28">
        <v>10</v>
      </c>
      <c r="M14" s="25">
        <v>11</v>
      </c>
      <c r="N14" s="29">
        <v>12</v>
      </c>
      <c r="O14" s="24">
        <v>13</v>
      </c>
      <c r="P14" s="28">
        <v>14</v>
      </c>
      <c r="Q14" s="25">
        <v>15</v>
      </c>
      <c r="R14" s="26">
        <v>16</v>
      </c>
      <c r="S14" s="27">
        <v>17</v>
      </c>
      <c r="T14" s="28">
        <v>18</v>
      </c>
      <c r="U14" s="28">
        <v>19</v>
      </c>
      <c r="V14" s="29">
        <v>20</v>
      </c>
      <c r="W14" s="24">
        <v>21</v>
      </c>
      <c r="X14" s="25">
        <v>22</v>
      </c>
      <c r="Y14" s="25">
        <v>23</v>
      </c>
      <c r="Z14" s="26">
        <v>24</v>
      </c>
      <c r="AA14" s="24">
        <v>25</v>
      </c>
      <c r="AB14" s="25">
        <v>26</v>
      </c>
      <c r="AC14" s="25">
        <v>27</v>
      </c>
      <c r="AD14" s="26">
        <v>28</v>
      </c>
      <c r="AE14" s="24">
        <v>29</v>
      </c>
      <c r="AF14" s="25">
        <v>30</v>
      </c>
      <c r="AG14" s="25">
        <v>31</v>
      </c>
      <c r="AH14" s="26">
        <v>32</v>
      </c>
      <c r="AN14" s="26"/>
    </row>
    <row r="15" spans="1:40" ht="29.4" thickBot="1" x14ac:dyDescent="0.6">
      <c r="A15" s="1"/>
      <c r="B15" s="23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K15" s="70"/>
      <c r="AN15" s="41"/>
    </row>
    <row r="16" spans="1:40" ht="23.25" customHeight="1" x14ac:dyDescent="0.4">
      <c r="A16" s="182" t="s">
        <v>11</v>
      </c>
      <c r="B16" s="183" t="s">
        <v>0</v>
      </c>
      <c r="C16" s="49"/>
      <c r="D16" s="51"/>
      <c r="E16" s="51"/>
      <c r="F16" s="34"/>
      <c r="G16" s="49"/>
      <c r="H16" s="51"/>
      <c r="I16" s="51"/>
      <c r="J16" s="34"/>
      <c r="K16" s="49"/>
      <c r="L16" s="51"/>
      <c r="M16" s="51"/>
      <c r="N16" s="34"/>
      <c r="O16" s="49"/>
      <c r="P16" s="51"/>
      <c r="Q16" s="51"/>
      <c r="R16" s="34"/>
      <c r="S16" s="49"/>
      <c r="T16" s="51"/>
      <c r="U16" s="51" t="s">
        <v>5</v>
      </c>
      <c r="V16" s="106"/>
      <c r="W16" s="49" t="s">
        <v>5</v>
      </c>
      <c r="X16" s="51" t="s">
        <v>5</v>
      </c>
      <c r="Y16" s="51" t="s">
        <v>5</v>
      </c>
      <c r="Z16" s="34"/>
      <c r="AA16" s="49" t="s">
        <v>5</v>
      </c>
      <c r="AB16" s="51" t="s">
        <v>5</v>
      </c>
      <c r="AC16" s="51" t="s">
        <v>5</v>
      </c>
      <c r="AD16" s="34"/>
      <c r="AE16" s="49" t="s">
        <v>5</v>
      </c>
      <c r="AF16" s="51" t="s">
        <v>5</v>
      </c>
      <c r="AG16" s="51" t="s">
        <v>5</v>
      </c>
      <c r="AH16" s="34"/>
      <c r="AI16" s="115"/>
      <c r="AJ16" s="123"/>
      <c r="AN16" s="34"/>
    </row>
    <row r="17" spans="1:40" ht="23.25" customHeight="1" x14ac:dyDescent="0.4">
      <c r="A17" s="182"/>
      <c r="B17" s="184"/>
      <c r="C17" s="50"/>
      <c r="D17" s="52"/>
      <c r="E17" s="52"/>
      <c r="F17" s="35"/>
      <c r="G17" s="50"/>
      <c r="H17" s="52"/>
      <c r="I17" s="52"/>
      <c r="J17" s="35"/>
      <c r="K17" s="50"/>
      <c r="L17" s="52"/>
      <c r="M17" s="52"/>
      <c r="N17" s="35"/>
      <c r="O17" s="50"/>
      <c r="P17" s="52"/>
      <c r="Q17" s="52"/>
      <c r="R17" s="35"/>
      <c r="S17" s="50"/>
      <c r="T17" s="52"/>
      <c r="U17" s="52"/>
      <c r="V17" s="35"/>
      <c r="W17" s="90"/>
      <c r="X17" s="52"/>
      <c r="Y17" s="52"/>
      <c r="Z17" s="35"/>
      <c r="AA17" s="50"/>
      <c r="AB17" s="52"/>
      <c r="AC17" s="52"/>
      <c r="AD17" s="35"/>
      <c r="AE17" s="50"/>
      <c r="AF17" s="52"/>
      <c r="AG17" s="52"/>
      <c r="AH17" s="35"/>
      <c r="AN17" s="35"/>
    </row>
    <row r="18" spans="1:40" ht="23.25" customHeight="1" x14ac:dyDescent="0.4">
      <c r="A18" s="182"/>
      <c r="B18" s="183" t="s">
        <v>1</v>
      </c>
      <c r="C18" s="59"/>
      <c r="D18" s="57"/>
      <c r="E18" s="57"/>
      <c r="F18" s="107"/>
      <c r="G18" s="59"/>
      <c r="H18" s="57"/>
      <c r="I18" s="57"/>
      <c r="J18" s="33"/>
      <c r="K18" s="59"/>
      <c r="L18" s="57"/>
      <c r="M18" s="57"/>
      <c r="N18" s="32"/>
      <c r="O18" s="59"/>
      <c r="P18" s="57"/>
      <c r="Q18" s="57"/>
      <c r="R18" s="107"/>
      <c r="S18" s="59"/>
      <c r="T18" s="57" t="s">
        <v>5</v>
      </c>
      <c r="U18" s="57" t="s">
        <v>5</v>
      </c>
      <c r="V18" s="33"/>
      <c r="W18" s="59" t="s">
        <v>5</v>
      </c>
      <c r="X18" s="57" t="s">
        <v>5</v>
      </c>
      <c r="Y18" s="57" t="s">
        <v>5</v>
      </c>
      <c r="Z18" s="33"/>
      <c r="AA18" s="59" t="s">
        <v>5</v>
      </c>
      <c r="AB18" s="57" t="s">
        <v>5</v>
      </c>
      <c r="AC18" s="57" t="s">
        <v>5</v>
      </c>
      <c r="AD18" s="33"/>
      <c r="AE18" s="59" t="s">
        <v>5</v>
      </c>
      <c r="AF18" s="57" t="s">
        <v>5</v>
      </c>
      <c r="AG18" s="57" t="s">
        <v>5</v>
      </c>
      <c r="AH18" s="107"/>
      <c r="AI18" s="115"/>
      <c r="AJ18" s="116"/>
      <c r="AN18" s="33"/>
    </row>
    <row r="19" spans="1:40" ht="23.25" customHeight="1" thickBot="1" x14ac:dyDescent="0.45">
      <c r="A19" s="182"/>
      <c r="B19" s="184"/>
      <c r="C19" s="60"/>
      <c r="D19" s="58"/>
      <c r="E19" s="58"/>
      <c r="F19" s="39"/>
      <c r="G19" s="60"/>
      <c r="H19" s="58"/>
      <c r="I19" s="58"/>
      <c r="J19" s="39"/>
      <c r="K19" s="60"/>
      <c r="L19" s="58"/>
      <c r="M19" s="58"/>
      <c r="N19" s="39"/>
      <c r="O19" s="89"/>
      <c r="P19" s="88"/>
      <c r="Q19" s="88"/>
      <c r="R19" s="108"/>
      <c r="S19" s="60"/>
      <c r="T19" s="58"/>
      <c r="U19" s="58"/>
      <c r="V19" s="39"/>
      <c r="W19" s="60"/>
      <c r="X19" s="58"/>
      <c r="Y19" s="58"/>
      <c r="Z19" s="39"/>
      <c r="AA19" s="60"/>
      <c r="AB19" s="58"/>
      <c r="AC19" s="58"/>
      <c r="AD19" s="39"/>
      <c r="AE19" s="60"/>
      <c r="AF19" s="58"/>
      <c r="AG19" s="58"/>
      <c r="AH19" s="39"/>
      <c r="AN19" s="39"/>
    </row>
    <row r="20" spans="1:40" ht="23.25" customHeight="1" thickBot="1" x14ac:dyDescent="0.5">
      <c r="A20" s="182"/>
      <c r="B20" s="183" t="s">
        <v>2</v>
      </c>
      <c r="C20" s="61"/>
      <c r="D20" s="63"/>
      <c r="E20" s="63"/>
      <c r="F20" s="31"/>
      <c r="G20" s="61"/>
      <c r="H20" s="63"/>
      <c r="I20" s="63"/>
      <c r="J20" s="31"/>
      <c r="K20" s="61"/>
      <c r="L20" s="63"/>
      <c r="M20" s="63"/>
      <c r="N20" s="109"/>
      <c r="O20" s="27">
        <v>13</v>
      </c>
      <c r="P20" s="28">
        <v>14</v>
      </c>
      <c r="Q20" s="28">
        <v>15</v>
      </c>
      <c r="R20" s="29">
        <v>16</v>
      </c>
      <c r="S20" s="61"/>
      <c r="T20" s="63" t="s">
        <v>5</v>
      </c>
      <c r="U20" s="63" t="s">
        <v>5</v>
      </c>
      <c r="V20" s="30"/>
      <c r="W20" s="61" t="s">
        <v>5</v>
      </c>
      <c r="X20" s="63" t="s">
        <v>5</v>
      </c>
      <c r="Y20" s="63" t="s">
        <v>5</v>
      </c>
      <c r="Z20" s="31"/>
      <c r="AA20" s="61" t="s">
        <v>5</v>
      </c>
      <c r="AB20" s="63" t="s">
        <v>5</v>
      </c>
      <c r="AC20" s="63" t="s">
        <v>5</v>
      </c>
      <c r="AD20" s="31"/>
      <c r="AE20" s="61" t="s">
        <v>5</v>
      </c>
      <c r="AF20" s="63" t="s">
        <v>5</v>
      </c>
      <c r="AG20" s="63" t="s">
        <v>5</v>
      </c>
      <c r="AH20" s="30"/>
      <c r="AI20" s="115"/>
      <c r="AJ20" s="116"/>
      <c r="AN20" s="31"/>
    </row>
    <row r="21" spans="1:40" ht="23.25" customHeight="1" x14ac:dyDescent="0.4">
      <c r="A21" s="182"/>
      <c r="B21" s="184"/>
      <c r="C21" s="62"/>
      <c r="D21" s="64"/>
      <c r="E21" s="64"/>
      <c r="F21" s="40"/>
      <c r="G21" s="62"/>
      <c r="H21" s="64"/>
      <c r="I21" s="64"/>
      <c r="J21" s="40"/>
      <c r="K21" s="62"/>
      <c r="L21" s="64"/>
      <c r="M21" s="64"/>
      <c r="N21" s="110"/>
      <c r="O21" s="41"/>
      <c r="P21" s="41"/>
      <c r="Q21" s="41"/>
      <c r="R21" s="41"/>
      <c r="S21" s="62"/>
      <c r="T21" s="64"/>
      <c r="U21" s="64"/>
      <c r="V21" s="40"/>
      <c r="W21" s="62"/>
      <c r="X21" s="64"/>
      <c r="Y21" s="64"/>
      <c r="Z21" s="40"/>
      <c r="AA21" s="62"/>
      <c r="AB21" s="64"/>
      <c r="AC21" s="64"/>
      <c r="AD21" s="40"/>
      <c r="AE21" s="62"/>
      <c r="AF21" s="64"/>
      <c r="AG21" s="64"/>
      <c r="AH21" s="40"/>
      <c r="AI21" s="48"/>
      <c r="AJ21" s="4"/>
      <c r="AN21" s="40"/>
    </row>
    <row r="22" spans="1:40" ht="23.25" customHeight="1" x14ac:dyDescent="0.4">
      <c r="A22" s="182"/>
      <c r="B22" s="185" t="s">
        <v>3</v>
      </c>
      <c r="C22" s="141" t="s">
        <v>4</v>
      </c>
      <c r="D22" s="142"/>
      <c r="E22" s="142"/>
      <c r="F22" s="143"/>
      <c r="G22" s="11">
        <v>4908273</v>
      </c>
      <c r="H22" s="12">
        <v>4902766</v>
      </c>
      <c r="I22" s="12">
        <v>4903046</v>
      </c>
      <c r="J22" s="13">
        <v>4903190</v>
      </c>
      <c r="K22" s="11">
        <v>4908253</v>
      </c>
      <c r="L22" s="12">
        <v>4903244</v>
      </c>
      <c r="M22" s="12">
        <v>4902912</v>
      </c>
      <c r="N22" s="13">
        <v>4902937</v>
      </c>
      <c r="O22" s="42"/>
      <c r="P22" s="42"/>
      <c r="Q22" s="42"/>
      <c r="R22" s="42"/>
      <c r="S22" s="20">
        <v>4902872</v>
      </c>
      <c r="T22" s="21">
        <v>4908258</v>
      </c>
      <c r="U22" s="21"/>
      <c r="V22" s="10">
        <v>4908264</v>
      </c>
      <c r="W22" s="11">
        <v>4908260</v>
      </c>
      <c r="X22" s="12">
        <v>4908267</v>
      </c>
      <c r="Y22" s="12"/>
      <c r="Z22" s="13">
        <v>4908261</v>
      </c>
      <c r="AA22" s="14">
        <v>4908271</v>
      </c>
      <c r="AB22" s="12">
        <v>4908270</v>
      </c>
      <c r="AC22" s="12"/>
      <c r="AD22" s="13">
        <v>4908274</v>
      </c>
      <c r="AE22" s="11">
        <v>4908275</v>
      </c>
      <c r="AF22" s="12">
        <v>4908225</v>
      </c>
      <c r="AG22" s="12">
        <v>4908226</v>
      </c>
      <c r="AH22" s="13">
        <v>4902846</v>
      </c>
      <c r="AI22" s="115">
        <f>COUNTBLANK(S22:AH23)</f>
        <v>8</v>
      </c>
      <c r="AJ22" s="123">
        <f>COUNTBLANK(G22:N23)</f>
        <v>2</v>
      </c>
      <c r="AN22" s="13"/>
    </row>
    <row r="23" spans="1:40" ht="24" customHeight="1" thickBot="1" x14ac:dyDescent="0.45">
      <c r="A23" s="182"/>
      <c r="B23" s="186"/>
      <c r="C23" s="144"/>
      <c r="D23" s="145"/>
      <c r="E23" s="145"/>
      <c r="F23" s="146"/>
      <c r="G23" s="17">
        <v>4908273</v>
      </c>
      <c r="H23" s="15">
        <v>4902766</v>
      </c>
      <c r="I23" s="15">
        <v>4903046</v>
      </c>
      <c r="J23" s="16">
        <v>4903190</v>
      </c>
      <c r="K23" s="17">
        <v>4908253</v>
      </c>
      <c r="L23" s="15">
        <v>4903244</v>
      </c>
      <c r="M23" s="15"/>
      <c r="N23" s="16"/>
      <c r="O23" s="42"/>
      <c r="P23" s="42"/>
      <c r="Q23" s="42"/>
      <c r="R23" s="42"/>
      <c r="S23" s="17"/>
      <c r="T23" s="15">
        <v>4908258</v>
      </c>
      <c r="U23" s="15"/>
      <c r="V23" s="16">
        <v>4908264</v>
      </c>
      <c r="W23" s="17">
        <v>4908260</v>
      </c>
      <c r="X23" s="15">
        <v>4908267</v>
      </c>
      <c r="Y23" s="15"/>
      <c r="Z23" s="16">
        <v>4908261</v>
      </c>
      <c r="AA23" s="19">
        <v>4908271</v>
      </c>
      <c r="AB23" s="15">
        <v>4908270</v>
      </c>
      <c r="AC23" s="15"/>
      <c r="AD23" s="16">
        <v>4908274</v>
      </c>
      <c r="AE23" s="17">
        <v>4908275</v>
      </c>
      <c r="AF23" s="15">
        <v>4908225</v>
      </c>
      <c r="AG23" s="15">
        <v>4908226</v>
      </c>
      <c r="AH23" s="16"/>
      <c r="AI23" s="115"/>
      <c r="AJ23" s="123"/>
      <c r="AN23" s="16"/>
    </row>
    <row r="24" spans="1:40" ht="29.4" thickBot="1" x14ac:dyDescent="0.6">
      <c r="A24" s="1"/>
      <c r="B24" s="23"/>
      <c r="C24" s="24">
        <v>1</v>
      </c>
      <c r="D24" s="25">
        <v>2</v>
      </c>
      <c r="E24" s="25">
        <v>3</v>
      </c>
      <c r="F24" s="26">
        <v>4</v>
      </c>
      <c r="G24" s="24">
        <v>5</v>
      </c>
      <c r="H24" s="25">
        <v>6</v>
      </c>
      <c r="I24" s="25">
        <v>7</v>
      </c>
      <c r="J24" s="26">
        <v>8</v>
      </c>
      <c r="K24" s="27">
        <v>9</v>
      </c>
      <c r="L24" s="28">
        <v>10</v>
      </c>
      <c r="M24" s="28">
        <v>11</v>
      </c>
      <c r="N24" s="29">
        <v>12</v>
      </c>
      <c r="O24" s="37"/>
      <c r="P24" s="37"/>
      <c r="Q24" s="37"/>
      <c r="R24" s="37"/>
      <c r="S24" s="27">
        <v>17</v>
      </c>
      <c r="T24" s="28">
        <v>18</v>
      </c>
      <c r="U24" s="28">
        <v>19</v>
      </c>
      <c r="V24" s="29">
        <v>20</v>
      </c>
      <c r="W24" s="24">
        <v>21</v>
      </c>
      <c r="X24" s="25">
        <v>22</v>
      </c>
      <c r="Y24" s="25">
        <v>23</v>
      </c>
      <c r="Z24" s="26">
        <v>24</v>
      </c>
      <c r="AA24" s="24">
        <v>25</v>
      </c>
      <c r="AB24" s="25">
        <v>26</v>
      </c>
      <c r="AC24" s="25">
        <v>27</v>
      </c>
      <c r="AD24" s="26">
        <v>28</v>
      </c>
      <c r="AE24" s="24">
        <v>29</v>
      </c>
      <c r="AF24" s="25">
        <v>30</v>
      </c>
      <c r="AG24" s="25">
        <v>31</v>
      </c>
      <c r="AH24" s="26">
        <v>32</v>
      </c>
      <c r="AN24" s="26"/>
    </row>
    <row r="25" spans="1:40" ht="29.4" thickBot="1" x14ac:dyDescent="0.6">
      <c r="A25" s="1"/>
      <c r="B25" s="23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N25" s="41"/>
    </row>
    <row r="26" spans="1:40" ht="24" customHeight="1" x14ac:dyDescent="0.4">
      <c r="A26" s="182" t="s">
        <v>12</v>
      </c>
      <c r="B26" s="183" t="s">
        <v>0</v>
      </c>
      <c r="C26" s="49" t="s">
        <v>750</v>
      </c>
      <c r="D26" s="51" t="s">
        <v>750</v>
      </c>
      <c r="E26" s="51" t="s">
        <v>750</v>
      </c>
      <c r="F26" s="111"/>
      <c r="G26" s="49" t="s">
        <v>750</v>
      </c>
      <c r="H26" s="51" t="s">
        <v>750</v>
      </c>
      <c r="I26" s="51" t="s">
        <v>750</v>
      </c>
      <c r="J26" s="34"/>
      <c r="K26" s="49" t="s">
        <v>750</v>
      </c>
      <c r="L26" s="51" t="s">
        <v>750</v>
      </c>
      <c r="M26" s="51" t="s">
        <v>750</v>
      </c>
      <c r="N26" s="34"/>
      <c r="O26" s="49"/>
      <c r="P26" s="51"/>
      <c r="Q26" s="51"/>
      <c r="R26" s="53" t="s">
        <v>751</v>
      </c>
      <c r="S26" s="49" t="s">
        <v>751</v>
      </c>
      <c r="T26" s="51" t="s">
        <v>751</v>
      </c>
      <c r="U26" s="51" t="s">
        <v>751</v>
      </c>
      <c r="V26" s="53" t="s">
        <v>751</v>
      </c>
      <c r="W26" s="49" t="s">
        <v>751</v>
      </c>
      <c r="X26" s="51" t="s">
        <v>751</v>
      </c>
      <c r="Y26" s="51" t="s">
        <v>751</v>
      </c>
      <c r="Z26" s="53" t="s">
        <v>751</v>
      </c>
      <c r="AA26" s="49" t="s">
        <v>751</v>
      </c>
      <c r="AB26" s="51" t="s">
        <v>751</v>
      </c>
      <c r="AC26" s="51" t="s">
        <v>751</v>
      </c>
      <c r="AD26" s="53" t="s">
        <v>751</v>
      </c>
      <c r="AE26" s="49" t="s">
        <v>751</v>
      </c>
      <c r="AF26" s="51" t="s">
        <v>751</v>
      </c>
      <c r="AG26" s="51" t="s">
        <v>751</v>
      </c>
      <c r="AH26" s="53" t="s">
        <v>751</v>
      </c>
      <c r="AN26" s="43"/>
    </row>
    <row r="27" spans="1:40" ht="23.25" customHeight="1" x14ac:dyDescent="0.4">
      <c r="A27" s="182"/>
      <c r="B27" s="184"/>
      <c r="C27" s="50"/>
      <c r="D27" s="52"/>
      <c r="E27" s="52"/>
      <c r="F27" s="44"/>
      <c r="G27" s="50"/>
      <c r="H27" s="52"/>
      <c r="I27" s="52"/>
      <c r="J27" s="44"/>
      <c r="K27" s="50"/>
      <c r="L27" s="52"/>
      <c r="M27" s="52"/>
      <c r="N27" s="44"/>
      <c r="O27" s="50"/>
      <c r="P27" s="52"/>
      <c r="Q27" s="52"/>
      <c r="R27" s="54"/>
      <c r="S27" s="50"/>
      <c r="T27" s="52"/>
      <c r="U27" s="52"/>
      <c r="V27" s="54"/>
      <c r="W27" s="50"/>
      <c r="X27" s="52"/>
      <c r="Y27" s="52"/>
      <c r="Z27" s="54"/>
      <c r="AA27" s="50"/>
      <c r="AB27" s="52"/>
      <c r="AC27" s="52"/>
      <c r="AD27" s="54"/>
      <c r="AE27" s="50"/>
      <c r="AF27" s="52"/>
      <c r="AG27" s="97"/>
      <c r="AH27" s="96"/>
      <c r="AN27" s="44"/>
    </row>
    <row r="28" spans="1:40" ht="23.25" customHeight="1" x14ac:dyDescent="0.4">
      <c r="A28" s="182"/>
      <c r="B28" s="183" t="s">
        <v>1</v>
      </c>
      <c r="C28" s="59" t="s">
        <v>750</v>
      </c>
      <c r="D28" s="57" t="s">
        <v>750</v>
      </c>
      <c r="E28" s="57" t="s">
        <v>750</v>
      </c>
      <c r="F28" s="107"/>
      <c r="G28" s="59" t="s">
        <v>750</v>
      </c>
      <c r="H28" s="57" t="s">
        <v>750</v>
      </c>
      <c r="I28" s="57" t="s">
        <v>750</v>
      </c>
      <c r="J28" s="107"/>
      <c r="K28" s="59" t="s">
        <v>750</v>
      </c>
      <c r="L28" s="57" t="s">
        <v>750</v>
      </c>
      <c r="M28" s="57" t="s">
        <v>750</v>
      </c>
      <c r="N28" s="107"/>
      <c r="O28" s="92" t="s">
        <v>751</v>
      </c>
      <c r="P28" s="94" t="s">
        <v>751</v>
      </c>
      <c r="Q28" s="94" t="s">
        <v>751</v>
      </c>
      <c r="R28" s="55" t="s">
        <v>751</v>
      </c>
      <c r="S28" s="59" t="s">
        <v>751</v>
      </c>
      <c r="T28" s="57" t="s">
        <v>751</v>
      </c>
      <c r="U28" s="57" t="s">
        <v>751</v>
      </c>
      <c r="V28" s="55" t="s">
        <v>751</v>
      </c>
      <c r="W28" s="59" t="s">
        <v>751</v>
      </c>
      <c r="X28" s="57" t="s">
        <v>751</v>
      </c>
      <c r="Y28" s="57" t="s">
        <v>751</v>
      </c>
      <c r="Z28" s="55" t="s">
        <v>751</v>
      </c>
      <c r="AA28" s="59" t="s">
        <v>751</v>
      </c>
      <c r="AB28" s="57" t="s">
        <v>751</v>
      </c>
      <c r="AC28" s="57" t="s">
        <v>751</v>
      </c>
      <c r="AD28" s="55" t="s">
        <v>751</v>
      </c>
      <c r="AE28" s="59" t="s">
        <v>751</v>
      </c>
      <c r="AF28" s="57" t="s">
        <v>751</v>
      </c>
      <c r="AG28" s="57" t="s">
        <v>751</v>
      </c>
      <c r="AH28" s="55" t="s">
        <v>751</v>
      </c>
      <c r="AI28" s="48"/>
      <c r="AJ28" s="4"/>
      <c r="AN28" s="32"/>
    </row>
    <row r="29" spans="1:40" ht="24" customHeight="1" thickBot="1" x14ac:dyDescent="0.45">
      <c r="A29" s="182"/>
      <c r="B29" s="184"/>
      <c r="C29" s="60"/>
      <c r="D29" s="58"/>
      <c r="E29" s="58"/>
      <c r="F29" s="45"/>
      <c r="G29" s="60"/>
      <c r="H29" s="58"/>
      <c r="I29" s="58"/>
      <c r="J29" s="45"/>
      <c r="K29" s="60"/>
      <c r="L29" s="58"/>
      <c r="M29" s="58"/>
      <c r="N29" s="45"/>
      <c r="O29" s="93"/>
      <c r="P29" s="95"/>
      <c r="Q29" s="95"/>
      <c r="R29" s="91"/>
      <c r="S29" s="60"/>
      <c r="T29" s="58"/>
      <c r="U29" s="58"/>
      <c r="V29" s="56"/>
      <c r="W29" s="60"/>
      <c r="X29" s="58"/>
      <c r="Y29" s="58"/>
      <c r="Z29" s="56"/>
      <c r="AA29" s="60"/>
      <c r="AB29" s="58"/>
      <c r="AC29" s="58"/>
      <c r="AD29" s="56"/>
      <c r="AE29" s="60"/>
      <c r="AF29" s="58"/>
      <c r="AG29" s="58"/>
      <c r="AH29" s="56"/>
      <c r="AI29" s="48"/>
      <c r="AN29" s="45"/>
    </row>
    <row r="30" spans="1:40" ht="23.25" customHeight="1" thickBot="1" x14ac:dyDescent="0.5">
      <c r="A30" s="182"/>
      <c r="B30" s="183" t="s">
        <v>2</v>
      </c>
      <c r="C30" s="61" t="s">
        <v>750</v>
      </c>
      <c r="D30" s="63" t="s">
        <v>750</v>
      </c>
      <c r="E30" s="63" t="s">
        <v>750</v>
      </c>
      <c r="F30" s="30"/>
      <c r="G30" s="61" t="s">
        <v>750</v>
      </c>
      <c r="H30" s="63" t="s">
        <v>750</v>
      </c>
      <c r="I30" s="63" t="s">
        <v>750</v>
      </c>
      <c r="J30" s="109"/>
      <c r="K30" s="61" t="s">
        <v>750</v>
      </c>
      <c r="L30" s="63" t="s">
        <v>750</v>
      </c>
      <c r="M30" s="63" t="s">
        <v>750</v>
      </c>
      <c r="N30" s="30"/>
      <c r="O30" s="27">
        <v>13</v>
      </c>
      <c r="P30" s="28">
        <v>14</v>
      </c>
      <c r="Q30" s="28">
        <v>15</v>
      </c>
      <c r="R30" s="29">
        <v>16</v>
      </c>
      <c r="S30" s="61"/>
      <c r="T30" s="63"/>
      <c r="U30" s="63"/>
      <c r="V30" s="65"/>
      <c r="W30" s="61"/>
      <c r="X30" s="63"/>
      <c r="Y30" s="63" t="s">
        <v>751</v>
      </c>
      <c r="Z30" s="65" t="s">
        <v>751</v>
      </c>
      <c r="AA30" s="61" t="s">
        <v>751</v>
      </c>
      <c r="AB30" s="63" t="s">
        <v>751</v>
      </c>
      <c r="AC30" s="63" t="s">
        <v>751</v>
      </c>
      <c r="AD30" s="65" t="s">
        <v>751</v>
      </c>
      <c r="AE30" s="61" t="s">
        <v>751</v>
      </c>
      <c r="AF30" s="63" t="s">
        <v>751</v>
      </c>
      <c r="AG30" s="63" t="s">
        <v>751</v>
      </c>
      <c r="AH30" s="65" t="s">
        <v>751</v>
      </c>
      <c r="AN30" s="30"/>
    </row>
    <row r="31" spans="1:40" ht="23.25" customHeight="1" x14ac:dyDescent="0.4">
      <c r="A31" s="182"/>
      <c r="B31" s="184"/>
      <c r="C31" s="62"/>
      <c r="D31" s="64"/>
      <c r="E31" s="64"/>
      <c r="F31" s="36"/>
      <c r="G31" s="62"/>
      <c r="H31" s="64"/>
      <c r="I31" s="64"/>
      <c r="J31" s="36"/>
      <c r="K31" s="62"/>
      <c r="L31" s="64"/>
      <c r="M31" s="64"/>
      <c r="N31" s="112"/>
      <c r="O31" s="46"/>
      <c r="P31" s="46"/>
      <c r="Q31" s="46"/>
      <c r="R31" s="46"/>
      <c r="S31" s="62"/>
      <c r="T31" s="64"/>
      <c r="U31" s="64"/>
      <c r="V31" s="66"/>
      <c r="W31" s="62"/>
      <c r="X31" s="64"/>
      <c r="Y31" s="64"/>
      <c r="Z31" s="66"/>
      <c r="AA31" s="62"/>
      <c r="AB31" s="64"/>
      <c r="AC31" s="64"/>
      <c r="AD31" s="66"/>
      <c r="AE31" s="62"/>
      <c r="AF31" s="64"/>
      <c r="AG31" s="64"/>
      <c r="AH31" s="66"/>
      <c r="AN31" s="36"/>
    </row>
    <row r="32" spans="1:40" ht="23.25" customHeight="1" x14ac:dyDescent="0.4">
      <c r="A32" s="182"/>
      <c r="B32" s="185" t="s">
        <v>3</v>
      </c>
      <c r="C32" s="11">
        <v>4905868</v>
      </c>
      <c r="D32" s="12"/>
      <c r="E32" s="12"/>
      <c r="F32" s="13">
        <v>4908226</v>
      </c>
      <c r="G32" s="11">
        <v>4908277</v>
      </c>
      <c r="H32" s="12"/>
      <c r="I32" s="12">
        <v>4908276</v>
      </c>
      <c r="J32" s="13">
        <v>4907210</v>
      </c>
      <c r="K32" s="11">
        <v>4902828</v>
      </c>
      <c r="L32" s="12"/>
      <c r="M32" s="12"/>
      <c r="N32" s="13">
        <v>4903100</v>
      </c>
      <c r="O32" s="42"/>
      <c r="P32" s="42"/>
      <c r="Q32" s="42"/>
      <c r="R32" s="42"/>
      <c r="S32" s="20">
        <v>4907160</v>
      </c>
      <c r="T32" s="21"/>
      <c r="U32" s="21">
        <v>4908253</v>
      </c>
      <c r="V32" s="10">
        <v>4903190</v>
      </c>
      <c r="W32" s="20">
        <v>4903220</v>
      </c>
      <c r="X32" s="12"/>
      <c r="Y32" s="12">
        <v>4902967</v>
      </c>
      <c r="Z32" s="13"/>
      <c r="AA32" s="14"/>
      <c r="AB32" s="79"/>
      <c r="AC32" s="21">
        <v>4902736</v>
      </c>
      <c r="AD32" s="13">
        <v>4907792</v>
      </c>
      <c r="AE32" s="11"/>
      <c r="AF32" s="12"/>
      <c r="AG32" s="12"/>
      <c r="AH32" s="13"/>
      <c r="AI32" s="5">
        <f>COUNTBLANK(C32:N33)</f>
        <v>7</v>
      </c>
      <c r="AN32" s="13"/>
    </row>
    <row r="33" spans="1:40" ht="24" customHeight="1" thickBot="1" x14ac:dyDescent="0.45">
      <c r="A33" s="182"/>
      <c r="B33" s="186"/>
      <c r="C33" s="17">
        <v>4905872</v>
      </c>
      <c r="D33" s="15" t="s">
        <v>758</v>
      </c>
      <c r="E33" s="72">
        <v>4907252</v>
      </c>
      <c r="F33" s="16">
        <v>4908226</v>
      </c>
      <c r="G33" s="17">
        <v>4908277</v>
      </c>
      <c r="H33" s="15">
        <v>4904928</v>
      </c>
      <c r="I33" s="15">
        <v>4908276</v>
      </c>
      <c r="J33" s="16"/>
      <c r="K33" s="17"/>
      <c r="L33" s="15">
        <v>4903318</v>
      </c>
      <c r="M33" s="15">
        <v>4907063</v>
      </c>
      <c r="N33" s="16">
        <v>4903100</v>
      </c>
      <c r="O33" s="42"/>
      <c r="P33" s="42"/>
      <c r="Q33" s="42"/>
      <c r="R33" s="42"/>
      <c r="S33" s="11"/>
      <c r="T33" s="15"/>
      <c r="U33" s="15">
        <v>4908253</v>
      </c>
      <c r="V33" s="16">
        <v>4903190</v>
      </c>
      <c r="W33" s="17">
        <v>4903220</v>
      </c>
      <c r="X33" s="15"/>
      <c r="Y33" s="15">
        <v>4902967</v>
      </c>
      <c r="Z33" s="16">
        <v>4907180</v>
      </c>
      <c r="AA33" s="19"/>
      <c r="AB33" s="78">
        <v>4905821</v>
      </c>
      <c r="AC33" s="15">
        <v>4902736</v>
      </c>
      <c r="AD33" s="16">
        <v>4907792</v>
      </c>
      <c r="AE33" s="17"/>
      <c r="AF33" s="15"/>
      <c r="AG33" s="15"/>
      <c r="AH33" s="16"/>
      <c r="AI33" s="5">
        <f>COUNTBLANK(S32:AH33)</f>
        <v>17</v>
      </c>
      <c r="AN33" s="16"/>
    </row>
    <row r="34" spans="1:40" ht="28.5" customHeight="1" thickBot="1" x14ac:dyDescent="0.5">
      <c r="A34" s="1"/>
      <c r="B34" s="1"/>
      <c r="C34" s="24">
        <v>1</v>
      </c>
      <c r="D34" s="25">
        <v>2</v>
      </c>
      <c r="E34" s="28">
        <v>3</v>
      </c>
      <c r="F34" s="26">
        <v>4</v>
      </c>
      <c r="G34" s="24">
        <v>5</v>
      </c>
      <c r="H34" s="25">
        <v>6</v>
      </c>
      <c r="I34" s="25">
        <v>7</v>
      </c>
      <c r="J34" s="26">
        <v>8</v>
      </c>
      <c r="K34" s="27">
        <v>9</v>
      </c>
      <c r="L34" s="28">
        <v>10</v>
      </c>
      <c r="M34" s="28">
        <v>11</v>
      </c>
      <c r="N34" s="29">
        <v>12</v>
      </c>
      <c r="O34" s="22"/>
      <c r="P34" s="22"/>
      <c r="Q34" s="22"/>
      <c r="R34" s="22"/>
      <c r="S34" s="69">
        <v>17</v>
      </c>
      <c r="T34" s="28">
        <v>18</v>
      </c>
      <c r="U34" s="28">
        <v>19</v>
      </c>
      <c r="V34" s="29">
        <v>20</v>
      </c>
      <c r="W34" s="24">
        <v>21</v>
      </c>
      <c r="X34" s="25">
        <v>22</v>
      </c>
      <c r="Y34" s="25">
        <v>23</v>
      </c>
      <c r="Z34" s="26">
        <v>24</v>
      </c>
      <c r="AA34" s="24">
        <v>25</v>
      </c>
      <c r="AB34" s="28">
        <v>26</v>
      </c>
      <c r="AC34" s="25">
        <v>27</v>
      </c>
      <c r="AD34" s="26">
        <v>28</v>
      </c>
      <c r="AE34" s="24">
        <v>29</v>
      </c>
      <c r="AF34" s="25">
        <v>30</v>
      </c>
      <c r="AG34" s="25">
        <v>31</v>
      </c>
      <c r="AH34" s="26">
        <v>32</v>
      </c>
      <c r="AN34" s="26"/>
    </row>
    <row r="35" spans="1:40" ht="4.5" customHeight="1" x14ac:dyDescent="0.3"/>
    <row r="36" spans="1:40" ht="1.5" customHeight="1" thickBot="1" x14ac:dyDescent="0.35"/>
    <row r="37" spans="1:40" ht="15" customHeight="1" thickBot="1" x14ac:dyDescent="0.35">
      <c r="C37" s="135" t="s">
        <v>752</v>
      </c>
      <c r="D37" s="136"/>
      <c r="E37" s="136"/>
      <c r="F37" s="137"/>
      <c r="H37" s="135" t="s">
        <v>753</v>
      </c>
      <c r="I37" s="136"/>
      <c r="J37" s="136"/>
      <c r="K37" s="137"/>
      <c r="V37" s="82"/>
      <c r="W37" s="84"/>
      <c r="X37" s="82"/>
      <c r="Y37" s="82"/>
      <c r="Z37" s="82"/>
      <c r="AA37" s="82"/>
      <c r="AB37" s="82"/>
      <c r="AC37" s="82"/>
      <c r="AD37" s="82"/>
      <c r="AE37" s="82"/>
      <c r="AI37" s="5">
        <v>0</v>
      </c>
    </row>
    <row r="38" spans="1:40" ht="15.75" customHeight="1" thickBot="1" x14ac:dyDescent="0.35">
      <c r="C38" s="138"/>
      <c r="D38" s="139"/>
      <c r="E38" s="139"/>
      <c r="F38" s="140"/>
      <c r="H38" s="138"/>
      <c r="I38" s="139"/>
      <c r="J38" s="139"/>
      <c r="K38" s="140"/>
      <c r="U38" s="165" t="s">
        <v>759</v>
      </c>
      <c r="V38" s="166"/>
      <c r="W38" s="124" t="s">
        <v>772</v>
      </c>
      <c r="X38" s="117" t="s">
        <v>760</v>
      </c>
      <c r="Y38" s="119" t="s">
        <v>761</v>
      </c>
      <c r="Z38" s="124" t="s">
        <v>762</v>
      </c>
      <c r="AA38" s="117" t="s">
        <v>763</v>
      </c>
      <c r="AB38" s="117" t="s">
        <v>764</v>
      </c>
      <c r="AC38" s="117" t="s">
        <v>765</v>
      </c>
      <c r="AD38" s="119" t="s">
        <v>766</v>
      </c>
      <c r="AE38" s="124" t="s">
        <v>767</v>
      </c>
      <c r="AF38" s="117" t="s">
        <v>768</v>
      </c>
      <c r="AG38" s="119" t="s">
        <v>769</v>
      </c>
      <c r="AN38" s="119"/>
    </row>
    <row r="39" spans="1:40" ht="12" customHeight="1" thickBot="1" x14ac:dyDescent="0.35">
      <c r="C39" s="147">
        <f>SUM(AI12,AI22,AJ22,AI32,AI33)</f>
        <v>46</v>
      </c>
      <c r="D39" s="148"/>
      <c r="E39" s="148"/>
      <c r="F39" s="149"/>
      <c r="H39" s="156">
        <f>+SUM('Arkusz pomocniczy'!H5:J28)</f>
        <v>77</v>
      </c>
      <c r="I39" s="157"/>
      <c r="J39" s="157"/>
      <c r="K39" s="158"/>
      <c r="U39" s="167"/>
      <c r="V39" s="168"/>
      <c r="W39" s="125"/>
      <c r="X39" s="118"/>
      <c r="Y39" s="120"/>
      <c r="Z39" s="125"/>
      <c r="AA39" s="118"/>
      <c r="AB39" s="118"/>
      <c r="AC39" s="118"/>
      <c r="AD39" s="120"/>
      <c r="AE39" s="125"/>
      <c r="AF39" s="118"/>
      <c r="AG39" s="120"/>
      <c r="AN39" s="120"/>
    </row>
    <row r="40" spans="1:40" ht="11.25" customHeight="1" x14ac:dyDescent="0.3">
      <c r="C40" s="150"/>
      <c r="D40" s="151"/>
      <c r="E40" s="151"/>
      <c r="F40" s="152"/>
      <c r="H40" s="159"/>
      <c r="I40" s="160"/>
      <c r="J40" s="160"/>
      <c r="K40" s="161"/>
      <c r="U40" s="167" t="s">
        <v>770</v>
      </c>
      <c r="V40" s="168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N40" s="192"/>
    </row>
    <row r="41" spans="1:40" ht="15" customHeight="1" thickBot="1" x14ac:dyDescent="0.35">
      <c r="C41" s="153"/>
      <c r="D41" s="154"/>
      <c r="E41" s="154"/>
      <c r="F41" s="155"/>
      <c r="H41" s="162"/>
      <c r="I41" s="163"/>
      <c r="J41" s="163"/>
      <c r="K41" s="164"/>
      <c r="U41" s="167"/>
      <c r="V41" s="168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  <c r="AN41" s="190"/>
    </row>
    <row r="42" spans="1:40" ht="12" customHeight="1" x14ac:dyDescent="0.3">
      <c r="L42" s="68"/>
      <c r="U42" s="167" t="s">
        <v>771</v>
      </c>
      <c r="V42" s="168"/>
      <c r="W42" s="171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N42" s="190"/>
    </row>
    <row r="43" spans="1:40" ht="12" customHeight="1" thickBot="1" x14ac:dyDescent="0.35">
      <c r="U43" s="169"/>
      <c r="V43" s="170"/>
      <c r="W43" s="172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N43" s="191"/>
    </row>
    <row r="44" spans="1:40" ht="12.75" customHeight="1" x14ac:dyDescent="0.3">
      <c r="E44" s="173" t="s">
        <v>755</v>
      </c>
      <c r="F44" s="174"/>
      <c r="G44" s="174"/>
      <c r="H44" s="174"/>
      <c r="I44" s="175"/>
      <c r="V44" s="82"/>
      <c r="W44" s="82"/>
      <c r="X44" s="82"/>
      <c r="Y44" s="82"/>
      <c r="Z44" s="82"/>
      <c r="AA44" s="82"/>
      <c r="AB44" s="82"/>
      <c r="AC44" s="82"/>
      <c r="AD44" s="82"/>
      <c r="AE44" s="82"/>
    </row>
    <row r="45" spans="1:40" ht="13.5" customHeight="1" thickBot="1" x14ac:dyDescent="0.35">
      <c r="E45" s="176"/>
      <c r="F45" s="177"/>
      <c r="G45" s="177"/>
      <c r="H45" s="177"/>
      <c r="I45" s="178"/>
    </row>
    <row r="46" spans="1:40" ht="12.75" customHeight="1" x14ac:dyDescent="0.3">
      <c r="E46" s="126">
        <f>SUM(H39,C39)</f>
        <v>123</v>
      </c>
      <c r="F46" s="127"/>
      <c r="G46" s="127"/>
      <c r="H46" s="127"/>
      <c r="I46" s="128"/>
      <c r="V46" s="77"/>
      <c r="W46" s="77"/>
    </row>
    <row r="47" spans="1:40" ht="16.5" customHeight="1" x14ac:dyDescent="0.3">
      <c r="E47" s="129"/>
      <c r="F47" s="130"/>
      <c r="G47" s="130"/>
      <c r="H47" s="130"/>
      <c r="I47" s="131"/>
      <c r="V47" s="76"/>
      <c r="W47" s="77"/>
    </row>
    <row r="48" spans="1:40" ht="15.75" customHeight="1" thickBot="1" x14ac:dyDescent="0.35">
      <c r="E48" s="132"/>
      <c r="F48" s="133"/>
      <c r="G48" s="133"/>
      <c r="H48" s="133"/>
      <c r="I48" s="134"/>
      <c r="V48" s="76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7"/>
    </row>
    <row r="49" spans="22:33" ht="19.5" customHeight="1" x14ac:dyDescent="0.3">
      <c r="V49" s="76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7"/>
    </row>
    <row r="50" spans="22:33" x14ac:dyDescent="0.3"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</row>
    <row r="51" spans="22:33" x14ac:dyDescent="0.3"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</row>
    <row r="52" spans="22:33" x14ac:dyDescent="0.3"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</row>
    <row r="53" spans="22:33" x14ac:dyDescent="0.3"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</row>
    <row r="54" spans="22:33" x14ac:dyDescent="0.3"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</row>
    <row r="55" spans="22:33" x14ac:dyDescent="0.3"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</row>
    <row r="734" spans="1:4" x14ac:dyDescent="0.3">
      <c r="A734" s="8"/>
      <c r="B734" s="8"/>
      <c r="C734" s="8"/>
      <c r="D734" s="8"/>
    </row>
    <row r="735" spans="1:4" x14ac:dyDescent="0.3">
      <c r="A735" s="8"/>
      <c r="B735" s="8"/>
      <c r="C735" s="8"/>
      <c r="D735" s="8"/>
    </row>
  </sheetData>
  <dataConsolidate/>
  <mergeCells count="71">
    <mergeCell ref="AN42:AN43"/>
    <mergeCell ref="AN38:AN39"/>
    <mergeCell ref="AN40:AN41"/>
    <mergeCell ref="A26:A33"/>
    <mergeCell ref="B26:B27"/>
    <mergeCell ref="B28:B29"/>
    <mergeCell ref="B30:B31"/>
    <mergeCell ref="B32:B33"/>
    <mergeCell ref="AA38:AA39"/>
    <mergeCell ref="AB38:AB39"/>
    <mergeCell ref="AC38:AC39"/>
    <mergeCell ref="AD38:AD39"/>
    <mergeCell ref="AE38:AE39"/>
    <mergeCell ref="AA40:AA41"/>
    <mergeCell ref="AB40:AB41"/>
    <mergeCell ref="AC40:AC41"/>
    <mergeCell ref="AF42:AF43"/>
    <mergeCell ref="C12:F13"/>
    <mergeCell ref="A16:A23"/>
    <mergeCell ref="B16:B17"/>
    <mergeCell ref="B18:B19"/>
    <mergeCell ref="B20:B21"/>
    <mergeCell ref="B22:B23"/>
    <mergeCell ref="A6:A13"/>
    <mergeCell ref="B6:B7"/>
    <mergeCell ref="B8:B9"/>
    <mergeCell ref="B10:B11"/>
    <mergeCell ref="B12:B13"/>
    <mergeCell ref="AE42:AE43"/>
    <mergeCell ref="W38:W39"/>
    <mergeCell ref="AA42:AA43"/>
    <mergeCell ref="AB42:AB43"/>
    <mergeCell ref="E46:I48"/>
    <mergeCell ref="C37:F38"/>
    <mergeCell ref="AI22:AI23"/>
    <mergeCell ref="AJ22:AJ23"/>
    <mergeCell ref="C22:F23"/>
    <mergeCell ref="H37:K38"/>
    <mergeCell ref="C39:F41"/>
    <mergeCell ref="H39:K41"/>
    <mergeCell ref="U38:V39"/>
    <mergeCell ref="U40:V41"/>
    <mergeCell ref="U42:V43"/>
    <mergeCell ref="W40:W41"/>
    <mergeCell ref="X40:X41"/>
    <mergeCell ref="X38:X39"/>
    <mergeCell ref="W42:W43"/>
    <mergeCell ref="E44:I45"/>
    <mergeCell ref="AD40:AD41"/>
    <mergeCell ref="Y42:Y43"/>
    <mergeCell ref="Z42:Z43"/>
    <mergeCell ref="Y40:Y41"/>
    <mergeCell ref="Z40:Z41"/>
    <mergeCell ref="AC42:AC43"/>
    <mergeCell ref="AD42:AD43"/>
    <mergeCell ref="X42:X43"/>
    <mergeCell ref="AI6:AJ6"/>
    <mergeCell ref="AF38:AF39"/>
    <mergeCell ref="AG38:AG39"/>
    <mergeCell ref="AF40:AF41"/>
    <mergeCell ref="AG40:AG41"/>
    <mergeCell ref="AI20:AJ20"/>
    <mergeCell ref="AI18:AJ18"/>
    <mergeCell ref="AI16:AJ16"/>
    <mergeCell ref="AI12:AJ13"/>
    <mergeCell ref="AI10:AJ10"/>
    <mergeCell ref="AI8:AJ8"/>
    <mergeCell ref="AG42:AG43"/>
    <mergeCell ref="Y38:Y39"/>
    <mergeCell ref="Z38:Z39"/>
    <mergeCell ref="AE40:AE41"/>
  </mergeCells>
  <conditionalFormatting sqref="W40:AG41">
    <cfRule type="expression" dxfId="0" priority="1">
      <formula>IF(W40&lt;&gt;"",TODAY()-W40&gt;=6,1=0)</formula>
    </cfRule>
  </conditionalFormatting>
  <pageMargins left="0.7" right="0.7" top="0.75" bottom="0.75" header="0.3" footer="0.3"/>
  <pageSetup paperSize="9" scale="28" fitToHeight="0" orientation="landscape" r:id="rId1"/>
  <ignoredErrors>
    <ignoredError sqref="W38:Z38 AA38:AC38 AD38:AG3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zycisk1_Click">
                <anchor moveWithCells="1">
                  <from>
                    <xdr:col>14</xdr:col>
                    <xdr:colOff>7620</xdr:colOff>
                    <xdr:row>1</xdr:row>
                    <xdr:rowOff>38100</xdr:rowOff>
                  </from>
                  <to>
                    <xdr:col>16</xdr:col>
                    <xdr:colOff>365760</xdr:colOff>
                    <xdr:row>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un">
                <anchor moveWithCells="1">
                  <from>
                    <xdr:col>18</xdr:col>
                    <xdr:colOff>7620</xdr:colOff>
                    <xdr:row>1</xdr:row>
                    <xdr:rowOff>38100</xdr:rowOff>
                  </from>
                  <to>
                    <xdr:col>20</xdr:col>
                    <xdr:colOff>335280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F733F1-B1C2-42DE-BEE4-7226CEAE7D1C}">
          <x14:formula1>
            <xm:f>'Arkusz pomocniczy'!$C$4:$C$7</xm:f>
          </x14:formula1>
          <xm:sqref>C6:E11 G6:I11 K6:M11 O6:Q11 S6:U11 W6:Y11 AA6:AC11 AE6:AG11 C16:E21 G16:I21 K16:M21 O16:Q19 S16:U21 W16:Y21 AA16:AC21 AE16:AG21 C26:E31 G26:I31 K26:M31 O26:R29 S26:AB31 AD26:AH31 AC26:AC28 AC30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87C3-4F1D-44D8-A2FF-4C2E00161B04}">
  <sheetPr codeName="Sheet1"/>
  <dimension ref="A1:F13"/>
  <sheetViews>
    <sheetView tabSelected="1" workbookViewId="0">
      <selection activeCell="D27" sqref="D27"/>
    </sheetView>
  </sheetViews>
  <sheetFormatPr defaultRowHeight="14.4" x14ac:dyDescent="0.3"/>
  <sheetData>
    <row r="1" spans="1:6" x14ac:dyDescent="0.3">
      <c r="A1" t="s">
        <v>796</v>
      </c>
    </row>
    <row r="2" spans="1:6" x14ac:dyDescent="0.3">
      <c r="A2" t="s">
        <v>795</v>
      </c>
    </row>
    <row r="11" spans="1:6" x14ac:dyDescent="0.3">
      <c r="F11" s="85"/>
    </row>
    <row r="13" spans="1:6" x14ac:dyDescent="0.3">
      <c r="F13" s="8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4"/>
  <dimension ref="A2:G21"/>
  <sheetViews>
    <sheetView workbookViewId="0">
      <selection activeCell="K10" sqref="K10"/>
    </sheetView>
  </sheetViews>
  <sheetFormatPr defaultRowHeight="14.4" x14ac:dyDescent="0.3"/>
  <sheetData>
    <row r="2" spans="1:7" ht="15" thickBot="1" x14ac:dyDescent="0.35"/>
    <row r="3" spans="1:7" ht="15" thickBot="1" x14ac:dyDescent="0.35">
      <c r="A3" s="193" t="s">
        <v>4</v>
      </c>
      <c r="B3" s="193"/>
      <c r="C3" s="194">
        <f>COUNTIF(Regały!C6:AH31,"But")</f>
        <v>42</v>
      </c>
      <c r="D3" s="194"/>
      <c r="E3" s="194" t="s">
        <v>784</v>
      </c>
      <c r="F3" s="195">
        <v>15000</v>
      </c>
      <c r="G3" s="196"/>
    </row>
    <row r="4" spans="1:7" ht="15" thickBot="1" x14ac:dyDescent="0.35">
      <c r="A4" s="193"/>
      <c r="B4" s="193"/>
      <c r="C4" s="194"/>
      <c r="D4" s="194"/>
      <c r="E4" s="194"/>
      <c r="F4" s="197"/>
      <c r="G4" s="198"/>
    </row>
    <row r="5" spans="1:7" ht="15" thickBot="1" x14ac:dyDescent="0.35">
      <c r="A5" s="193"/>
      <c r="B5" s="193"/>
      <c r="C5" s="194">
        <f>PRODUCT(C3,F3)</f>
        <v>630000</v>
      </c>
      <c r="D5" s="194"/>
      <c r="E5" s="194" t="s">
        <v>785</v>
      </c>
    </row>
    <row r="6" spans="1:7" ht="15" thickBot="1" x14ac:dyDescent="0.35">
      <c r="A6" s="193"/>
      <c r="B6" s="193"/>
      <c r="C6" s="194"/>
      <c r="D6" s="194"/>
      <c r="E6" s="194"/>
    </row>
    <row r="7" spans="1:7" ht="15" thickBot="1" x14ac:dyDescent="0.35"/>
    <row r="8" spans="1:7" ht="15" thickBot="1" x14ac:dyDescent="0.35">
      <c r="A8" s="193" t="s">
        <v>786</v>
      </c>
      <c r="B8" s="193"/>
      <c r="C8" s="194">
        <f>COUNTIF(Regały!C6:AH31,"CAP")</f>
        <v>32</v>
      </c>
      <c r="D8" s="194"/>
      <c r="E8" s="194" t="s">
        <v>787</v>
      </c>
      <c r="F8" s="195">
        <v>20000</v>
      </c>
      <c r="G8" s="196"/>
    </row>
    <row r="9" spans="1:7" ht="15" thickBot="1" x14ac:dyDescent="0.35">
      <c r="A9" s="193"/>
      <c r="B9" s="193"/>
      <c r="C9" s="194"/>
      <c r="D9" s="194"/>
      <c r="E9" s="194"/>
      <c r="F9" s="197"/>
      <c r="G9" s="198"/>
    </row>
    <row r="10" spans="1:7" ht="15" thickBot="1" x14ac:dyDescent="0.35">
      <c r="A10" s="193"/>
      <c r="B10" s="193"/>
      <c r="C10" s="194">
        <f>PRODUCT(C8,F8)</f>
        <v>640000</v>
      </c>
      <c r="D10" s="194"/>
      <c r="E10" s="194" t="s">
        <v>785</v>
      </c>
    </row>
    <row r="11" spans="1:7" ht="15" thickBot="1" x14ac:dyDescent="0.35">
      <c r="A11" s="193"/>
      <c r="B11" s="193"/>
      <c r="C11" s="194"/>
      <c r="D11" s="194"/>
      <c r="E11" s="194"/>
    </row>
    <row r="12" spans="1:7" ht="15" thickBot="1" x14ac:dyDescent="0.35"/>
    <row r="13" spans="1:7" ht="15" thickBot="1" x14ac:dyDescent="0.35">
      <c r="A13" s="193" t="s">
        <v>750</v>
      </c>
      <c r="B13" s="193"/>
      <c r="C13" s="194">
        <f>COUNTIF(Regały!C6:AH30,"Tacki")</f>
        <v>27</v>
      </c>
      <c r="D13" s="194"/>
      <c r="E13" s="194" t="s">
        <v>784</v>
      </c>
      <c r="F13" s="195">
        <v>800</v>
      </c>
      <c r="G13" s="196"/>
    </row>
    <row r="14" spans="1:7" ht="15" thickBot="1" x14ac:dyDescent="0.35">
      <c r="A14" s="193"/>
      <c r="B14" s="193"/>
      <c r="C14" s="194"/>
      <c r="D14" s="194"/>
      <c r="E14" s="194"/>
      <c r="F14" s="197"/>
      <c r="G14" s="198"/>
    </row>
    <row r="15" spans="1:7" ht="15" thickBot="1" x14ac:dyDescent="0.35">
      <c r="A15" s="193"/>
      <c r="B15" s="193"/>
      <c r="C15" s="194">
        <f>PRODUCT(C13,F13)</f>
        <v>21600</v>
      </c>
      <c r="D15" s="194"/>
      <c r="E15" s="194" t="s">
        <v>785</v>
      </c>
    </row>
    <row r="16" spans="1:7" ht="15" thickBot="1" x14ac:dyDescent="0.35">
      <c r="A16" s="193"/>
      <c r="B16" s="193"/>
      <c r="C16" s="194"/>
      <c r="D16" s="194"/>
      <c r="E16" s="194"/>
    </row>
    <row r="17" spans="1:7" ht="15" thickBot="1" x14ac:dyDescent="0.35"/>
    <row r="18" spans="1:7" ht="15" thickBot="1" x14ac:dyDescent="0.35">
      <c r="A18" s="193" t="s">
        <v>788</v>
      </c>
      <c r="B18" s="193"/>
      <c r="C18" s="194">
        <f>COUNTIF(Regały!C6:AH31,"Kar..")</f>
        <v>47</v>
      </c>
      <c r="D18" s="194"/>
      <c r="E18" s="194" t="s">
        <v>784</v>
      </c>
      <c r="F18" s="195">
        <v>9000</v>
      </c>
      <c r="G18" s="196"/>
    </row>
    <row r="19" spans="1:7" ht="15" thickBot="1" x14ac:dyDescent="0.35">
      <c r="A19" s="193"/>
      <c r="B19" s="193"/>
      <c r="C19" s="194"/>
      <c r="D19" s="194"/>
      <c r="E19" s="194"/>
      <c r="F19" s="197"/>
      <c r="G19" s="198"/>
    </row>
    <row r="20" spans="1:7" ht="15" thickBot="1" x14ac:dyDescent="0.35">
      <c r="A20" s="193"/>
      <c r="B20" s="193"/>
      <c r="C20" s="194">
        <f>PRODUCT(C18,F18)</f>
        <v>423000</v>
      </c>
      <c r="D20" s="194"/>
      <c r="E20" s="194" t="s">
        <v>785</v>
      </c>
    </row>
    <row r="21" spans="1:7" ht="15" thickBot="1" x14ac:dyDescent="0.35">
      <c r="A21" s="193"/>
      <c r="B21" s="193"/>
      <c r="C21" s="194"/>
      <c r="D21" s="194"/>
      <c r="E21" s="194"/>
    </row>
  </sheetData>
  <mergeCells count="24">
    <mergeCell ref="A18:B21"/>
    <mergeCell ref="C18:D19"/>
    <mergeCell ref="E18:E19"/>
    <mergeCell ref="F18:G19"/>
    <mergeCell ref="C20:D21"/>
    <mergeCell ref="E20:E21"/>
    <mergeCell ref="A13:B16"/>
    <mergeCell ref="C13:D14"/>
    <mergeCell ref="E13:E14"/>
    <mergeCell ref="F13:G14"/>
    <mergeCell ref="C15:D16"/>
    <mergeCell ref="E15:E16"/>
    <mergeCell ref="A8:B11"/>
    <mergeCell ref="C8:D9"/>
    <mergeCell ref="E8:E9"/>
    <mergeCell ref="F8:G9"/>
    <mergeCell ref="C10:D11"/>
    <mergeCell ref="E10:E11"/>
    <mergeCell ref="A3:B6"/>
    <mergeCell ref="C3:D4"/>
    <mergeCell ref="E3:E4"/>
    <mergeCell ref="F3:G4"/>
    <mergeCell ref="C5:D6"/>
    <mergeCell ref="E5:E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5"/>
  <dimension ref="C4:J28"/>
  <sheetViews>
    <sheetView workbookViewId="0">
      <selection activeCell="K10" sqref="K10"/>
    </sheetView>
  </sheetViews>
  <sheetFormatPr defaultRowHeight="14.4" x14ac:dyDescent="0.3"/>
  <cols>
    <col min="3" max="3" width="16.109375" customWidth="1"/>
    <col min="8" max="8" width="9.88671875" bestFit="1" customWidth="1"/>
  </cols>
  <sheetData>
    <row r="4" spans="3:10" ht="24.75" customHeight="1" x14ac:dyDescent="0.5">
      <c r="C4" s="98" t="s">
        <v>749</v>
      </c>
      <c r="H4" t="s">
        <v>789</v>
      </c>
      <c r="I4" t="s">
        <v>790</v>
      </c>
      <c r="J4" t="s">
        <v>791</v>
      </c>
    </row>
    <row r="5" spans="3:10" ht="25.5" customHeight="1" x14ac:dyDescent="0.5">
      <c r="C5" s="98" t="s">
        <v>5</v>
      </c>
      <c r="H5">
        <f>COUNTBLANK(Regały!C6:E6)</f>
        <v>3</v>
      </c>
      <c r="I5">
        <f>COUNTBLANK(Regały!C16:E16)</f>
        <v>3</v>
      </c>
      <c r="J5">
        <f>COUNTBLANK(Regały!C26:E26)</f>
        <v>0</v>
      </c>
    </row>
    <row r="6" spans="3:10" ht="25.5" customHeight="1" x14ac:dyDescent="0.5">
      <c r="C6" s="98" t="s">
        <v>750</v>
      </c>
      <c r="H6">
        <f>COUNTBLANK(Regały!C8:E8)</f>
        <v>3</v>
      </c>
      <c r="I6">
        <f>COUNTBLANK(Regały!C18:E18)</f>
        <v>3</v>
      </c>
      <c r="J6">
        <f>COUNTBLANK(Regały!C28:E28)</f>
        <v>0</v>
      </c>
    </row>
    <row r="7" spans="3:10" ht="28.5" customHeight="1" x14ac:dyDescent="0.5">
      <c r="C7" s="98" t="s">
        <v>751</v>
      </c>
      <c r="H7">
        <f>COUNTBLANK(Regały!C10:E10)</f>
        <v>3</v>
      </c>
      <c r="I7">
        <f>COUNTBLANK(Regały!C20:E20)</f>
        <v>3</v>
      </c>
      <c r="J7">
        <f>COUNTBLANK(Regały!C30:E30)</f>
        <v>0</v>
      </c>
    </row>
    <row r="8" spans="3:10" x14ac:dyDescent="0.3">
      <c r="H8">
        <f>COUNTBLANK(Regały!G6:I6)</f>
        <v>3</v>
      </c>
      <c r="I8">
        <f>COUNTBLANK(Regały!G16:I16)</f>
        <v>3</v>
      </c>
      <c r="J8">
        <f>COUNTBLANK(Regały!G26:I26)</f>
        <v>0</v>
      </c>
    </row>
    <row r="9" spans="3:10" x14ac:dyDescent="0.3">
      <c r="H9">
        <f>COUNTBLANK(Regały!G8:I8)</f>
        <v>3</v>
      </c>
      <c r="I9">
        <f>COUNTBLANK(Regały!G18:I18)</f>
        <v>3</v>
      </c>
      <c r="J9">
        <f>COUNTBLANK(Regały!G28:I28)</f>
        <v>0</v>
      </c>
    </row>
    <row r="10" spans="3:10" x14ac:dyDescent="0.3">
      <c r="H10">
        <f>COUNTBLANK(Regały!G10:I10)</f>
        <v>3</v>
      </c>
      <c r="I10">
        <f>COUNTBLANK(Regały!G20:I20)</f>
        <v>3</v>
      </c>
      <c r="J10">
        <f>COUNTBLANK(Regały!G30:I30)</f>
        <v>0</v>
      </c>
    </row>
    <row r="11" spans="3:10" x14ac:dyDescent="0.3">
      <c r="H11">
        <f>COUNTBLANK(Regały!K6:M6)</f>
        <v>3</v>
      </c>
      <c r="I11">
        <f>COUNTBLANK(Regały!K16:M16)</f>
        <v>3</v>
      </c>
      <c r="J11">
        <f>COUNTBLANK(Regały!K26:M26)</f>
        <v>0</v>
      </c>
    </row>
    <row r="12" spans="3:10" x14ac:dyDescent="0.3">
      <c r="H12">
        <f>COUNTBLANK(Regały!K8:M8)</f>
        <v>3</v>
      </c>
      <c r="I12">
        <f>COUNTBLANK(Regały!K18:M18)</f>
        <v>3</v>
      </c>
      <c r="J12">
        <f>COUNTBLANK(Regały!K28:M28)</f>
        <v>0</v>
      </c>
    </row>
    <row r="13" spans="3:10" x14ac:dyDescent="0.3">
      <c r="H13">
        <f>COUNTBLANK(Regały!K10:M10)</f>
        <v>3</v>
      </c>
      <c r="I13">
        <f>COUNTBLANK(Regały!K20:M20)</f>
        <v>3</v>
      </c>
      <c r="J13">
        <f>COUNTBLANK(Regały!K30:M30)</f>
        <v>0</v>
      </c>
    </row>
    <row r="14" spans="3:10" x14ac:dyDescent="0.3">
      <c r="H14">
        <f>COUNTBLANK(Regały!O6:Q6)</f>
        <v>0</v>
      </c>
      <c r="I14">
        <f>COUNTBLANK(Regały!O16:Q16)</f>
        <v>3</v>
      </c>
      <c r="J14">
        <f>COUNTBLANK(Regały!O26:AH26)</f>
        <v>3</v>
      </c>
    </row>
    <row r="15" spans="3:10" x14ac:dyDescent="0.3">
      <c r="H15">
        <f>COUNTBLANK(Regały!O8:Q8)</f>
        <v>0</v>
      </c>
      <c r="I15">
        <f>COUNTBLANK(Regały!S16:U16)</f>
        <v>2</v>
      </c>
      <c r="J15">
        <f>COUNTBLANK(Regały!O28:AH28)</f>
        <v>0</v>
      </c>
    </row>
    <row r="16" spans="3:10" x14ac:dyDescent="0.3">
      <c r="H16">
        <f>COUNTBLANK(Regały!O10:Q10)</f>
        <v>0</v>
      </c>
      <c r="I16">
        <f>COUNTBLANK(Regały!O18:Q18)</f>
        <v>3</v>
      </c>
      <c r="J16">
        <f>COUNTBLANK(Regały!S30:AH30)</f>
        <v>6</v>
      </c>
    </row>
    <row r="17" spans="8:9" x14ac:dyDescent="0.3">
      <c r="H17">
        <f>COUNTBLANK(Regały!S6:U6)</f>
        <v>0</v>
      </c>
      <c r="I17">
        <f>COUNTBLANK(Regały!S18:U18)</f>
        <v>1</v>
      </c>
    </row>
    <row r="18" spans="8:9" x14ac:dyDescent="0.3">
      <c r="H18">
        <f>COUNTBLANK(Regały!S8:U8)</f>
        <v>0</v>
      </c>
      <c r="I18">
        <f>COUNTBLANK(Regały!S20:U20)</f>
        <v>1</v>
      </c>
    </row>
    <row r="19" spans="8:9" x14ac:dyDescent="0.3">
      <c r="H19">
        <f>COUNTBLANK(Regały!S10:U10)</f>
        <v>0</v>
      </c>
      <c r="I19">
        <f>COUNTBLANK(Regały!W16:Y16)</f>
        <v>0</v>
      </c>
    </row>
    <row r="20" spans="8:9" x14ac:dyDescent="0.3">
      <c r="H20">
        <f>COUNTBLANK(Regały!W6:Y6)</f>
        <v>0</v>
      </c>
      <c r="I20">
        <f>COUNTBLANK(Regały!W18:Y18)</f>
        <v>0</v>
      </c>
    </row>
    <row r="21" spans="8:9" x14ac:dyDescent="0.3">
      <c r="H21">
        <f>COUNTBLANK(Regały!W8:Y8)</f>
        <v>0</v>
      </c>
      <c r="I21">
        <f>COUNTBLANK(Regały!W20:Y20)</f>
        <v>0</v>
      </c>
    </row>
    <row r="22" spans="8:9" x14ac:dyDescent="0.3">
      <c r="H22">
        <f>COUNTBLANK(Regały!W10:Y10)</f>
        <v>0</v>
      </c>
      <c r="I22">
        <f>COUNTBLANK(Regały!AA16:AC16)</f>
        <v>0</v>
      </c>
    </row>
    <row r="23" spans="8:9" x14ac:dyDescent="0.3">
      <c r="H23">
        <f>COUNTBLANK(Regały!AA6:AC6)</f>
        <v>0</v>
      </c>
      <c r="I23">
        <f>COUNTBLANK(Regały!AA18:AC18)</f>
        <v>0</v>
      </c>
    </row>
    <row r="24" spans="8:9" x14ac:dyDescent="0.3">
      <c r="H24">
        <f>COUNTBLANK(Regały!AA8:AC8)</f>
        <v>0</v>
      </c>
      <c r="I24">
        <f>COUNTBLANK(Regały!AA20:AC20)</f>
        <v>0</v>
      </c>
    </row>
    <row r="25" spans="8:9" x14ac:dyDescent="0.3">
      <c r="H25">
        <f>COUNTBLANK(Regały!AA10:AC10)</f>
        <v>0</v>
      </c>
      <c r="I25">
        <f>COUNTBLANK(Regały!AE16:AG16)</f>
        <v>0</v>
      </c>
    </row>
    <row r="26" spans="8:9" x14ac:dyDescent="0.3">
      <c r="H26">
        <f>COUNTBLANK(Regały!AE6:AG6)</f>
        <v>2</v>
      </c>
      <c r="I26">
        <f>COUNTBLANK(Regały!AE18:AG18)</f>
        <v>0</v>
      </c>
    </row>
    <row r="27" spans="8:9" x14ac:dyDescent="0.3">
      <c r="H27">
        <f>COUNTBLANK(Regały!AE8:AG8)</f>
        <v>2</v>
      </c>
      <c r="I27">
        <f>COUNTBLANK(Regały!AE20:AG20)</f>
        <v>0</v>
      </c>
    </row>
    <row r="28" spans="8:9" x14ac:dyDescent="0.3">
      <c r="H28">
        <f>COUNTBLANK(Regały!AE10:AG10)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3"/>
  <dimension ref="C5"/>
  <sheetViews>
    <sheetView zoomScaleNormal="100" workbookViewId="0">
      <selection activeCell="E22" sqref="E22"/>
    </sheetView>
  </sheetViews>
  <sheetFormatPr defaultRowHeight="14.4" x14ac:dyDescent="0.3"/>
  <sheetData>
    <row r="5" spans="3:3" ht="46.2" x14ac:dyDescent="0.85">
      <c r="C5" s="67" t="s">
        <v>754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2"/>
  <dimension ref="A1:AH749"/>
  <sheetViews>
    <sheetView topLeftCell="A726" zoomScale="70" zoomScaleNormal="70" workbookViewId="0">
      <selection activeCell="A748" sqref="A748"/>
    </sheetView>
  </sheetViews>
  <sheetFormatPr defaultRowHeight="14.4" x14ac:dyDescent="0.3"/>
  <cols>
    <col min="1" max="1" width="6.6640625" bestFit="1" customWidth="1"/>
    <col min="2" max="2" width="9" style="3" bestFit="1" customWidth="1"/>
    <col min="3" max="3" width="10.5546875" bestFit="1" customWidth="1"/>
    <col min="4" max="4" width="16.44140625" bestFit="1" customWidth="1"/>
  </cols>
  <sheetData>
    <row r="1" spans="1:34" x14ac:dyDescent="0.3">
      <c r="A1" t="s">
        <v>6</v>
      </c>
      <c r="B1" t="s">
        <v>7</v>
      </c>
      <c r="C1" t="s">
        <v>8</v>
      </c>
      <c r="D1" t="s">
        <v>9</v>
      </c>
    </row>
    <row r="2" spans="1:34" x14ac:dyDescent="0.3">
      <c r="A2" t="s">
        <v>793</v>
      </c>
      <c r="B2" t="s">
        <v>17</v>
      </c>
      <c r="C2" t="s">
        <v>749</v>
      </c>
      <c r="D2" s="2">
        <v>44802.894976851851</v>
      </c>
    </row>
    <row r="3" spans="1:34" x14ac:dyDescent="0.3">
      <c r="A3" t="s">
        <v>793</v>
      </c>
      <c r="B3" t="s">
        <v>18</v>
      </c>
      <c r="C3" t="s">
        <v>749</v>
      </c>
      <c r="D3" s="2">
        <v>44802.894976851851</v>
      </c>
    </row>
    <row r="4" spans="1:34" x14ac:dyDescent="0.3">
      <c r="A4" t="s">
        <v>793</v>
      </c>
      <c r="B4" t="s">
        <v>20</v>
      </c>
      <c r="C4" t="s">
        <v>749</v>
      </c>
      <c r="D4" s="2">
        <v>44802.894976851851</v>
      </c>
    </row>
    <row r="5" spans="1:34" x14ac:dyDescent="0.3">
      <c r="A5" t="s">
        <v>793</v>
      </c>
      <c r="B5" t="s">
        <v>21</v>
      </c>
      <c r="C5" t="s">
        <v>749</v>
      </c>
      <c r="D5" s="2">
        <v>44802.894988425927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</row>
    <row r="6" spans="1:34" x14ac:dyDescent="0.3">
      <c r="A6" t="s">
        <v>793</v>
      </c>
      <c r="B6" t="s">
        <v>24</v>
      </c>
      <c r="C6" t="s">
        <v>749</v>
      </c>
      <c r="D6" s="2">
        <v>44802.894988425927</v>
      </c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</row>
    <row r="7" spans="1:34" x14ac:dyDescent="0.3">
      <c r="A7" t="s">
        <v>793</v>
      </c>
      <c r="B7" t="s">
        <v>25</v>
      </c>
      <c r="C7" t="s">
        <v>749</v>
      </c>
      <c r="D7" s="2">
        <v>44802.894988425927</v>
      </c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</row>
    <row r="8" spans="1:34" x14ac:dyDescent="0.3">
      <c r="A8" t="s">
        <v>793</v>
      </c>
      <c r="B8" t="s">
        <v>26</v>
      </c>
      <c r="C8" t="s">
        <v>749</v>
      </c>
      <c r="D8" s="2">
        <v>44802.894999999997</v>
      </c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</row>
    <row r="9" spans="1:34" x14ac:dyDescent="0.3">
      <c r="A9" t="s">
        <v>793</v>
      </c>
      <c r="B9" t="s">
        <v>28</v>
      </c>
      <c r="C9" t="s">
        <v>749</v>
      </c>
      <c r="D9" s="2">
        <v>44802.894999999997</v>
      </c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</row>
    <row r="10" spans="1:34" x14ac:dyDescent="0.3">
      <c r="A10" t="s">
        <v>793</v>
      </c>
      <c r="B10" t="s">
        <v>29</v>
      </c>
      <c r="C10" t="s">
        <v>749</v>
      </c>
      <c r="D10" s="2">
        <v>44802.894999999997</v>
      </c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</row>
    <row r="11" spans="1:34" x14ac:dyDescent="0.3">
      <c r="A11" t="s">
        <v>793</v>
      </c>
      <c r="B11" t="s">
        <v>30</v>
      </c>
      <c r="C11" t="s">
        <v>749</v>
      </c>
      <c r="D11" s="2">
        <v>44802.894999999997</v>
      </c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</row>
    <row r="12" spans="1:34" x14ac:dyDescent="0.3">
      <c r="A12" t="s">
        <v>793</v>
      </c>
      <c r="B12" t="s">
        <v>32</v>
      </c>
      <c r="C12" t="s">
        <v>749</v>
      </c>
      <c r="D12" s="2">
        <v>44802.895011574074</v>
      </c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</row>
    <row r="13" spans="1:34" x14ac:dyDescent="0.3">
      <c r="A13" t="s">
        <v>793</v>
      </c>
      <c r="B13" t="s">
        <v>33</v>
      </c>
      <c r="C13" t="s">
        <v>749</v>
      </c>
      <c r="D13" s="2">
        <v>44802.895011574074</v>
      </c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</row>
    <row r="14" spans="1:34" x14ac:dyDescent="0.3">
      <c r="A14" t="s">
        <v>793</v>
      </c>
      <c r="B14" t="s">
        <v>34</v>
      </c>
      <c r="C14" t="s">
        <v>749</v>
      </c>
      <c r="D14" s="2">
        <v>44802.895011574074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</row>
    <row r="15" spans="1:34" x14ac:dyDescent="0.3">
      <c r="A15" t="s">
        <v>793</v>
      </c>
      <c r="B15" t="s">
        <v>36</v>
      </c>
      <c r="C15" t="s">
        <v>749</v>
      </c>
      <c r="D15" s="2">
        <v>44802.895011574074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</row>
    <row r="16" spans="1:34" x14ac:dyDescent="0.3">
      <c r="A16" t="s">
        <v>793</v>
      </c>
      <c r="B16" t="s">
        <v>37</v>
      </c>
      <c r="C16" t="s">
        <v>749</v>
      </c>
      <c r="D16" s="2">
        <v>44802.89502314815</v>
      </c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</row>
    <row r="17" spans="1:34" x14ac:dyDescent="0.3">
      <c r="A17" t="s">
        <v>793</v>
      </c>
      <c r="B17" t="s">
        <v>38</v>
      </c>
      <c r="C17" t="s">
        <v>749</v>
      </c>
      <c r="D17" s="2">
        <v>44802.89502314815</v>
      </c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</row>
    <row r="18" spans="1:34" x14ac:dyDescent="0.3">
      <c r="A18" t="s">
        <v>793</v>
      </c>
      <c r="B18" t="s">
        <v>41</v>
      </c>
      <c r="C18" t="s">
        <v>749</v>
      </c>
      <c r="D18" s="2">
        <v>44802.89502314815</v>
      </c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</row>
    <row r="19" spans="1:34" x14ac:dyDescent="0.3">
      <c r="A19" t="s">
        <v>793</v>
      </c>
      <c r="B19" t="s">
        <v>42</v>
      </c>
      <c r="C19" t="s">
        <v>749</v>
      </c>
      <c r="D19" s="2">
        <v>44802.89502314815</v>
      </c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</row>
    <row r="20" spans="1:34" x14ac:dyDescent="0.3">
      <c r="A20" t="s">
        <v>793</v>
      </c>
      <c r="B20" t="s">
        <v>45</v>
      </c>
      <c r="C20" t="s">
        <v>749</v>
      </c>
      <c r="D20" s="2">
        <v>44802.89503472222</v>
      </c>
      <c r="E20" s="83"/>
      <c r="F20" s="83"/>
      <c r="G20" s="83"/>
      <c r="H20" s="83"/>
      <c r="I20" s="83"/>
      <c r="J20" s="83"/>
      <c r="K20" s="83"/>
      <c r="L20" s="83"/>
      <c r="M20" s="83"/>
      <c r="N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</row>
    <row r="21" spans="1:34" x14ac:dyDescent="0.3">
      <c r="A21" t="s">
        <v>793</v>
      </c>
      <c r="B21" t="s">
        <v>46</v>
      </c>
      <c r="C21" t="s">
        <v>749</v>
      </c>
      <c r="D21" s="2">
        <v>44802.89503472222</v>
      </c>
      <c r="E21" s="83"/>
      <c r="F21" s="83"/>
      <c r="G21" s="83"/>
      <c r="H21" s="83"/>
      <c r="I21" s="83"/>
      <c r="J21" s="83"/>
      <c r="K21" s="83"/>
      <c r="L21" s="83"/>
      <c r="M21" s="83"/>
      <c r="N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</row>
    <row r="22" spans="1:34" x14ac:dyDescent="0.3">
      <c r="A22" t="s">
        <v>793</v>
      </c>
      <c r="B22" t="s">
        <v>49</v>
      </c>
      <c r="D22" s="2">
        <v>44802.895046296297</v>
      </c>
      <c r="E22" s="83"/>
      <c r="F22" s="83"/>
      <c r="G22" s="83"/>
      <c r="H22" s="83"/>
      <c r="I22" s="83"/>
      <c r="J22" s="83"/>
      <c r="K22" s="83"/>
      <c r="L22" s="83"/>
      <c r="M22" s="83"/>
      <c r="N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</row>
    <row r="23" spans="1:34" x14ac:dyDescent="0.3">
      <c r="A23" t="s">
        <v>793</v>
      </c>
      <c r="B23" t="s">
        <v>50</v>
      </c>
      <c r="D23" s="2">
        <v>44802.895046296297</v>
      </c>
      <c r="E23" s="83"/>
      <c r="F23" s="83"/>
      <c r="G23" s="83"/>
      <c r="H23" s="83"/>
      <c r="I23" s="83"/>
      <c r="J23" s="83"/>
      <c r="K23" s="83"/>
      <c r="L23" s="83"/>
      <c r="M23" s="83"/>
      <c r="N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</row>
    <row r="24" spans="1:34" x14ac:dyDescent="0.3">
      <c r="A24" t="s">
        <v>793</v>
      </c>
      <c r="B24" t="s">
        <v>52</v>
      </c>
      <c r="D24" s="2">
        <v>44802.895046296297</v>
      </c>
    </row>
    <row r="25" spans="1:34" x14ac:dyDescent="0.3">
      <c r="A25" t="s">
        <v>793</v>
      </c>
      <c r="B25" t="s">
        <v>53</v>
      </c>
      <c r="D25" s="2">
        <v>44802.895046296297</v>
      </c>
    </row>
    <row r="26" spans="1:34" x14ac:dyDescent="0.3">
      <c r="A26" t="s">
        <v>793</v>
      </c>
      <c r="B26" t="s">
        <v>54</v>
      </c>
      <c r="D26" s="2">
        <v>44802.895046296297</v>
      </c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</row>
    <row r="27" spans="1:34" x14ac:dyDescent="0.3">
      <c r="A27" t="s">
        <v>793</v>
      </c>
      <c r="B27" t="s">
        <v>55</v>
      </c>
      <c r="D27" s="2">
        <v>44802.895046296297</v>
      </c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</row>
    <row r="28" spans="1:34" x14ac:dyDescent="0.3">
      <c r="A28" t="s">
        <v>793</v>
      </c>
      <c r="B28" t="s">
        <v>56</v>
      </c>
      <c r="D28" s="2">
        <v>44802.895057870373</v>
      </c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</row>
    <row r="29" spans="1:34" x14ac:dyDescent="0.3">
      <c r="A29" t="s">
        <v>793</v>
      </c>
      <c r="B29" t="s">
        <v>57</v>
      </c>
      <c r="D29" s="2">
        <v>44802.895057870373</v>
      </c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</row>
    <row r="30" spans="1:34" x14ac:dyDescent="0.3">
      <c r="A30" t="s">
        <v>793</v>
      </c>
      <c r="B30" t="s">
        <v>58</v>
      </c>
      <c r="D30" s="2">
        <v>44802.895057870373</v>
      </c>
      <c r="E30" s="83"/>
      <c r="F30" s="83"/>
      <c r="G30" s="83"/>
      <c r="H30" s="83"/>
      <c r="I30" s="83"/>
      <c r="J30" s="83"/>
      <c r="K30" s="83"/>
      <c r="L30" s="83"/>
      <c r="M30" s="83"/>
      <c r="N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</row>
    <row r="31" spans="1:34" x14ac:dyDescent="0.3">
      <c r="A31" t="s">
        <v>793</v>
      </c>
      <c r="B31" t="s">
        <v>59</v>
      </c>
      <c r="D31" s="2">
        <v>44802.895057870373</v>
      </c>
      <c r="E31" s="83"/>
      <c r="F31" s="83"/>
      <c r="G31" s="83"/>
      <c r="H31" s="83"/>
      <c r="I31" s="83"/>
      <c r="J31" s="83"/>
      <c r="K31" s="83"/>
      <c r="L31" s="83"/>
      <c r="M31" s="83"/>
      <c r="N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</row>
    <row r="32" spans="1:34" x14ac:dyDescent="0.3">
      <c r="A32" t="s">
        <v>793</v>
      </c>
      <c r="B32" t="s">
        <v>60</v>
      </c>
      <c r="D32" s="2">
        <v>44802.895057870373</v>
      </c>
      <c r="E32" s="83"/>
      <c r="F32" s="83"/>
      <c r="G32" s="83"/>
      <c r="H32" s="83"/>
      <c r="I32" s="83"/>
      <c r="J32" s="83"/>
      <c r="K32" s="83"/>
      <c r="L32" s="83"/>
      <c r="M32" s="83"/>
      <c r="N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</row>
    <row r="33" spans="1:34" x14ac:dyDescent="0.3">
      <c r="A33" t="s">
        <v>793</v>
      </c>
      <c r="B33" t="s">
        <v>61</v>
      </c>
      <c r="D33" s="2">
        <v>44802.895057870373</v>
      </c>
      <c r="E33" s="83"/>
      <c r="F33" s="83"/>
      <c r="G33" s="83"/>
      <c r="H33" s="83"/>
      <c r="I33" s="83"/>
      <c r="J33" s="83"/>
      <c r="K33" s="83"/>
      <c r="L33" s="83"/>
      <c r="M33" s="83"/>
      <c r="N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  <c r="AE33" s="83"/>
      <c r="AF33" s="83"/>
      <c r="AG33" s="83"/>
      <c r="AH33" s="83"/>
    </row>
    <row r="34" spans="1:34" x14ac:dyDescent="0.3">
      <c r="A34" t="s">
        <v>793</v>
      </c>
      <c r="B34" t="s">
        <v>62</v>
      </c>
      <c r="D34" s="2">
        <v>44802.895057870373</v>
      </c>
    </row>
    <row r="35" spans="1:34" x14ac:dyDescent="0.3">
      <c r="A35" t="s">
        <v>793</v>
      </c>
      <c r="B35" t="s">
        <v>63</v>
      </c>
      <c r="D35" s="2">
        <v>44802.895069444443</v>
      </c>
    </row>
    <row r="36" spans="1:34" x14ac:dyDescent="0.3">
      <c r="A36" t="s">
        <v>793</v>
      </c>
      <c r="B36" t="s">
        <v>64</v>
      </c>
      <c r="D36" s="2">
        <v>44802.895069444443</v>
      </c>
    </row>
    <row r="37" spans="1:34" x14ac:dyDescent="0.3">
      <c r="A37" t="s">
        <v>793</v>
      </c>
      <c r="B37" t="s">
        <v>65</v>
      </c>
      <c r="D37" s="2">
        <v>44802.895069444443</v>
      </c>
    </row>
    <row r="38" spans="1:34" x14ac:dyDescent="0.3">
      <c r="A38" t="s">
        <v>793</v>
      </c>
      <c r="B38" t="s">
        <v>66</v>
      </c>
      <c r="D38" s="2">
        <v>44802.895069444443</v>
      </c>
    </row>
    <row r="39" spans="1:34" x14ac:dyDescent="0.3">
      <c r="A39" t="s">
        <v>793</v>
      </c>
      <c r="B39" t="s">
        <v>67</v>
      </c>
      <c r="D39" s="2">
        <v>44802.895069444443</v>
      </c>
    </row>
    <row r="40" spans="1:34" x14ac:dyDescent="0.3">
      <c r="A40" t="s">
        <v>793</v>
      </c>
      <c r="B40" t="s">
        <v>68</v>
      </c>
      <c r="D40" s="2">
        <v>44802.895069444443</v>
      </c>
    </row>
    <row r="41" spans="1:34" x14ac:dyDescent="0.3">
      <c r="A41" t="s">
        <v>793</v>
      </c>
      <c r="B41" t="s">
        <v>69</v>
      </c>
      <c r="D41" s="2">
        <v>44802.895069444443</v>
      </c>
    </row>
    <row r="42" spans="1:34" x14ac:dyDescent="0.3">
      <c r="A42" t="s">
        <v>793</v>
      </c>
      <c r="B42" t="s">
        <v>70</v>
      </c>
      <c r="D42" s="2">
        <v>44802.89508101852</v>
      </c>
      <c r="W42" s="83"/>
      <c r="X42" s="83"/>
      <c r="Y42" s="83"/>
      <c r="Z42" s="83"/>
      <c r="AA42" s="83"/>
      <c r="AB42" s="83"/>
      <c r="AC42" s="83"/>
      <c r="AD42" s="83"/>
      <c r="AE42" s="83"/>
      <c r="AF42" s="83"/>
      <c r="AG42" s="83"/>
    </row>
    <row r="43" spans="1:34" x14ac:dyDescent="0.3">
      <c r="A43" t="s">
        <v>793</v>
      </c>
      <c r="B43" t="s">
        <v>71</v>
      </c>
      <c r="D43" s="2">
        <v>44802.89508101852</v>
      </c>
    </row>
    <row r="44" spans="1:34" x14ac:dyDescent="0.3">
      <c r="A44" t="s">
        <v>793</v>
      </c>
      <c r="B44" t="s">
        <v>72</v>
      </c>
      <c r="D44" s="2">
        <v>44802.89508101852</v>
      </c>
    </row>
    <row r="45" spans="1:34" x14ac:dyDescent="0.3">
      <c r="A45" t="s">
        <v>793</v>
      </c>
      <c r="B45" t="s">
        <v>73</v>
      </c>
      <c r="D45" s="2">
        <v>44802.89508101852</v>
      </c>
    </row>
    <row r="46" spans="1:34" x14ac:dyDescent="0.3">
      <c r="A46" t="s">
        <v>793</v>
      </c>
      <c r="B46" t="s">
        <v>74</v>
      </c>
      <c r="D46" s="2">
        <v>44802.89508101852</v>
      </c>
    </row>
    <row r="47" spans="1:34" x14ac:dyDescent="0.3">
      <c r="A47" t="s">
        <v>793</v>
      </c>
      <c r="B47" t="s">
        <v>75</v>
      </c>
      <c r="D47" s="2">
        <v>44802.89508101852</v>
      </c>
    </row>
    <row r="48" spans="1:34" x14ac:dyDescent="0.3">
      <c r="A48" t="s">
        <v>793</v>
      </c>
      <c r="B48" t="s">
        <v>76</v>
      </c>
      <c r="D48" s="2">
        <v>44802.89508101852</v>
      </c>
    </row>
    <row r="49" spans="1:4" x14ac:dyDescent="0.3">
      <c r="A49" t="s">
        <v>793</v>
      </c>
      <c r="B49" t="s">
        <v>77</v>
      </c>
      <c r="D49" s="2">
        <v>44802.89508101852</v>
      </c>
    </row>
    <row r="50" spans="1:4" x14ac:dyDescent="0.3">
      <c r="A50" t="s">
        <v>793</v>
      </c>
      <c r="B50" t="s">
        <v>78</v>
      </c>
      <c r="D50" s="2">
        <v>44802.895092592589</v>
      </c>
    </row>
    <row r="51" spans="1:4" x14ac:dyDescent="0.3">
      <c r="A51" t="s">
        <v>793</v>
      </c>
      <c r="B51" t="s">
        <v>79</v>
      </c>
      <c r="D51" s="2">
        <v>44802.895092592589</v>
      </c>
    </row>
    <row r="52" spans="1:4" x14ac:dyDescent="0.3">
      <c r="A52" t="s">
        <v>793</v>
      </c>
      <c r="B52" t="s">
        <v>80</v>
      </c>
      <c r="C52" t="s">
        <v>749</v>
      </c>
      <c r="D52" s="2">
        <v>44802.895092592589</v>
      </c>
    </row>
    <row r="53" spans="1:4" x14ac:dyDescent="0.3">
      <c r="A53" t="s">
        <v>793</v>
      </c>
      <c r="B53" t="s">
        <v>82</v>
      </c>
      <c r="C53" t="s">
        <v>749</v>
      </c>
      <c r="D53" s="2">
        <v>44802.895092592589</v>
      </c>
    </row>
    <row r="54" spans="1:4" x14ac:dyDescent="0.3">
      <c r="A54" t="s">
        <v>793</v>
      </c>
      <c r="B54" t="s">
        <v>84</v>
      </c>
      <c r="C54" t="s">
        <v>749</v>
      </c>
      <c r="D54" s="2">
        <v>44802.895104166666</v>
      </c>
    </row>
    <row r="55" spans="1:4" x14ac:dyDescent="0.3">
      <c r="A55" t="s">
        <v>793</v>
      </c>
      <c r="B55" t="s">
        <v>85</v>
      </c>
      <c r="C55" t="s">
        <v>749</v>
      </c>
      <c r="D55" s="2">
        <v>44802.895104166666</v>
      </c>
    </row>
    <row r="56" spans="1:4" x14ac:dyDescent="0.3">
      <c r="A56" t="s">
        <v>793</v>
      </c>
      <c r="B56" t="s">
        <v>86</v>
      </c>
      <c r="C56" t="s">
        <v>749</v>
      </c>
      <c r="D56" s="2">
        <v>44802.895104166666</v>
      </c>
    </row>
    <row r="57" spans="1:4" x14ac:dyDescent="0.3">
      <c r="A57" t="s">
        <v>793</v>
      </c>
      <c r="B57" t="s">
        <v>88</v>
      </c>
      <c r="C57" t="s">
        <v>749</v>
      </c>
      <c r="D57" s="2">
        <v>44802.895104166666</v>
      </c>
    </row>
    <row r="58" spans="1:4" x14ac:dyDescent="0.3">
      <c r="A58" t="s">
        <v>793</v>
      </c>
      <c r="B58" t="s">
        <v>89</v>
      </c>
      <c r="C58" t="s">
        <v>749</v>
      </c>
      <c r="D58" s="2">
        <v>44802.895115740743</v>
      </c>
    </row>
    <row r="59" spans="1:4" x14ac:dyDescent="0.3">
      <c r="A59" t="s">
        <v>793</v>
      </c>
      <c r="B59" t="s">
        <v>90</v>
      </c>
      <c r="C59" t="s">
        <v>749</v>
      </c>
      <c r="D59" s="2">
        <v>44802.895115740743</v>
      </c>
    </row>
    <row r="60" spans="1:4" x14ac:dyDescent="0.3">
      <c r="A60" t="s">
        <v>793</v>
      </c>
      <c r="B60" t="s">
        <v>92</v>
      </c>
      <c r="C60" t="s">
        <v>749</v>
      </c>
      <c r="D60" s="2">
        <v>44802.895115740743</v>
      </c>
    </row>
    <row r="61" spans="1:4" x14ac:dyDescent="0.3">
      <c r="A61" t="s">
        <v>793</v>
      </c>
      <c r="B61" t="s">
        <v>94</v>
      </c>
      <c r="C61" t="s">
        <v>749</v>
      </c>
      <c r="D61" s="2">
        <v>44802.895115740743</v>
      </c>
    </row>
    <row r="62" spans="1:4" x14ac:dyDescent="0.3">
      <c r="A62" t="s">
        <v>793</v>
      </c>
      <c r="B62" t="s">
        <v>96</v>
      </c>
      <c r="C62" t="s">
        <v>749</v>
      </c>
      <c r="D62" s="2">
        <v>44802.895127314812</v>
      </c>
    </row>
    <row r="63" spans="1:4" x14ac:dyDescent="0.3">
      <c r="A63" t="s">
        <v>793</v>
      </c>
      <c r="B63" t="s">
        <v>97</v>
      </c>
      <c r="C63" t="s">
        <v>749</v>
      </c>
      <c r="D63" s="2">
        <v>44802.895127314812</v>
      </c>
    </row>
    <row r="64" spans="1:4" x14ac:dyDescent="0.3">
      <c r="A64" t="s">
        <v>793</v>
      </c>
      <c r="B64" t="s">
        <v>98</v>
      </c>
      <c r="C64" t="s">
        <v>749</v>
      </c>
      <c r="D64" s="2">
        <v>44802.895127314812</v>
      </c>
    </row>
    <row r="65" spans="1:4" x14ac:dyDescent="0.3">
      <c r="A65" t="s">
        <v>793</v>
      </c>
      <c r="B65" t="s">
        <v>100</v>
      </c>
      <c r="C65" t="s">
        <v>749</v>
      </c>
      <c r="D65" s="2">
        <v>44802.895138888889</v>
      </c>
    </row>
    <row r="66" spans="1:4" x14ac:dyDescent="0.3">
      <c r="A66" t="s">
        <v>793</v>
      </c>
      <c r="B66" t="s">
        <v>101</v>
      </c>
      <c r="C66" t="s">
        <v>749</v>
      </c>
      <c r="D66" s="2">
        <v>44802.895138888889</v>
      </c>
    </row>
    <row r="67" spans="1:4" x14ac:dyDescent="0.3">
      <c r="A67" t="s">
        <v>793</v>
      </c>
      <c r="B67" t="s">
        <v>102</v>
      </c>
      <c r="C67" t="s">
        <v>749</v>
      </c>
      <c r="D67" s="2">
        <v>44802.895138888889</v>
      </c>
    </row>
    <row r="68" spans="1:4" x14ac:dyDescent="0.3">
      <c r="A68" t="s">
        <v>793</v>
      </c>
      <c r="B68" t="s">
        <v>104</v>
      </c>
      <c r="C68" t="s">
        <v>749</v>
      </c>
      <c r="D68" s="2">
        <v>44802.895138888889</v>
      </c>
    </row>
    <row r="69" spans="1:4" x14ac:dyDescent="0.3">
      <c r="A69" t="s">
        <v>793</v>
      </c>
      <c r="B69" t="s">
        <v>105</v>
      </c>
      <c r="C69" t="s">
        <v>749</v>
      </c>
      <c r="D69" s="2">
        <v>44802.895138888889</v>
      </c>
    </row>
    <row r="70" spans="1:4" x14ac:dyDescent="0.3">
      <c r="A70" t="s">
        <v>793</v>
      </c>
      <c r="B70" t="s">
        <v>106</v>
      </c>
      <c r="C70" t="s">
        <v>749</v>
      </c>
      <c r="D70" s="2">
        <v>44802.895150462966</v>
      </c>
    </row>
    <row r="71" spans="1:4" x14ac:dyDescent="0.3">
      <c r="A71" t="s">
        <v>793</v>
      </c>
      <c r="B71" t="s">
        <v>108</v>
      </c>
      <c r="C71" t="s">
        <v>749</v>
      </c>
      <c r="D71" s="2">
        <v>44802.895150462966</v>
      </c>
    </row>
    <row r="72" spans="1:4" x14ac:dyDescent="0.3">
      <c r="A72" t="s">
        <v>793</v>
      </c>
      <c r="B72" t="s">
        <v>109</v>
      </c>
      <c r="C72" t="s">
        <v>749</v>
      </c>
      <c r="D72" s="2">
        <v>44802.895150462966</v>
      </c>
    </row>
    <row r="73" spans="1:4" x14ac:dyDescent="0.3">
      <c r="A73" t="s">
        <v>793</v>
      </c>
      <c r="B73" t="s">
        <v>110</v>
      </c>
      <c r="C73" t="s">
        <v>749</v>
      </c>
      <c r="D73" s="2">
        <v>44802.895150462966</v>
      </c>
    </row>
    <row r="74" spans="1:4" x14ac:dyDescent="0.3">
      <c r="A74" t="s">
        <v>793</v>
      </c>
      <c r="B74" t="s">
        <v>112</v>
      </c>
      <c r="D74" s="2">
        <v>44802.895162037035</v>
      </c>
    </row>
    <row r="75" spans="1:4" x14ac:dyDescent="0.3">
      <c r="A75" t="s">
        <v>793</v>
      </c>
      <c r="B75" t="s">
        <v>113</v>
      </c>
      <c r="D75" s="2">
        <v>44802.895162037035</v>
      </c>
    </row>
    <row r="76" spans="1:4" x14ac:dyDescent="0.3">
      <c r="A76" t="s">
        <v>793</v>
      </c>
      <c r="B76" t="s">
        <v>114</v>
      </c>
      <c r="D76" s="2">
        <v>44802.895162037035</v>
      </c>
    </row>
    <row r="77" spans="1:4" x14ac:dyDescent="0.3">
      <c r="A77" t="s">
        <v>793</v>
      </c>
      <c r="B77" t="s">
        <v>115</v>
      </c>
      <c r="D77" s="2">
        <v>44802.895162037035</v>
      </c>
    </row>
    <row r="78" spans="1:4" x14ac:dyDescent="0.3">
      <c r="A78" t="s">
        <v>793</v>
      </c>
      <c r="B78" t="s">
        <v>116</v>
      </c>
      <c r="D78" s="2">
        <v>44802.895162037035</v>
      </c>
    </row>
    <row r="79" spans="1:4" x14ac:dyDescent="0.3">
      <c r="A79" t="s">
        <v>793</v>
      </c>
      <c r="B79" t="s">
        <v>117</v>
      </c>
      <c r="D79" s="2">
        <v>44802.895162037035</v>
      </c>
    </row>
    <row r="80" spans="1:4" x14ac:dyDescent="0.3">
      <c r="A80" t="s">
        <v>793</v>
      </c>
      <c r="B80" t="s">
        <v>118</v>
      </c>
      <c r="D80" s="2">
        <v>44802.895162037035</v>
      </c>
    </row>
    <row r="81" spans="1:4" x14ac:dyDescent="0.3">
      <c r="A81" t="s">
        <v>793</v>
      </c>
      <c r="B81" t="s">
        <v>120</v>
      </c>
      <c r="D81" s="2">
        <v>44802.895173611112</v>
      </c>
    </row>
    <row r="82" spans="1:4" x14ac:dyDescent="0.3">
      <c r="A82" t="s">
        <v>793</v>
      </c>
      <c r="B82" t="s">
        <v>121</v>
      </c>
      <c r="D82" s="2">
        <v>44802.895173611112</v>
      </c>
    </row>
    <row r="83" spans="1:4" x14ac:dyDescent="0.3">
      <c r="A83" t="s">
        <v>793</v>
      </c>
      <c r="B83" t="s">
        <v>122</v>
      </c>
      <c r="D83" s="2">
        <v>44802.895173611112</v>
      </c>
    </row>
    <row r="84" spans="1:4" x14ac:dyDescent="0.3">
      <c r="A84" t="s">
        <v>793</v>
      </c>
      <c r="B84" t="s">
        <v>123</v>
      </c>
      <c r="D84" s="2">
        <v>44802.895173611112</v>
      </c>
    </row>
    <row r="85" spans="1:4" x14ac:dyDescent="0.3">
      <c r="A85" t="s">
        <v>793</v>
      </c>
      <c r="B85" t="s">
        <v>124</v>
      </c>
      <c r="D85" s="2">
        <v>44802.895173611112</v>
      </c>
    </row>
    <row r="86" spans="1:4" x14ac:dyDescent="0.3">
      <c r="A86" t="s">
        <v>793</v>
      </c>
      <c r="B86" t="s">
        <v>125</v>
      </c>
      <c r="D86" s="2">
        <v>44802.895173611112</v>
      </c>
    </row>
    <row r="87" spans="1:4" x14ac:dyDescent="0.3">
      <c r="A87" t="s">
        <v>793</v>
      </c>
      <c r="B87" t="s">
        <v>126</v>
      </c>
      <c r="D87" s="2">
        <v>44802.895185185182</v>
      </c>
    </row>
    <row r="88" spans="1:4" x14ac:dyDescent="0.3">
      <c r="A88" t="s">
        <v>793</v>
      </c>
      <c r="B88" t="s">
        <v>127</v>
      </c>
      <c r="D88" s="2">
        <v>44802.895185185182</v>
      </c>
    </row>
    <row r="89" spans="1:4" x14ac:dyDescent="0.3">
      <c r="A89" t="s">
        <v>793</v>
      </c>
      <c r="B89" t="s">
        <v>128</v>
      </c>
      <c r="D89" s="2">
        <v>44802.895185185182</v>
      </c>
    </row>
    <row r="90" spans="1:4" x14ac:dyDescent="0.3">
      <c r="A90" t="s">
        <v>793</v>
      </c>
      <c r="B90" t="s">
        <v>129</v>
      </c>
      <c r="D90" s="2">
        <v>44802.895185185182</v>
      </c>
    </row>
    <row r="91" spans="1:4" x14ac:dyDescent="0.3">
      <c r="A91" t="s">
        <v>793</v>
      </c>
      <c r="B91" t="s">
        <v>130</v>
      </c>
      <c r="D91" s="2">
        <v>44802.895185185182</v>
      </c>
    </row>
    <row r="92" spans="1:4" x14ac:dyDescent="0.3">
      <c r="A92" t="s">
        <v>793</v>
      </c>
      <c r="B92" t="s">
        <v>131</v>
      </c>
      <c r="D92" s="2">
        <v>44802.895185185182</v>
      </c>
    </row>
    <row r="93" spans="1:4" x14ac:dyDescent="0.3">
      <c r="A93" t="s">
        <v>793</v>
      </c>
      <c r="B93" t="s">
        <v>132</v>
      </c>
      <c r="D93" s="2">
        <v>44802.895185185182</v>
      </c>
    </row>
    <row r="94" spans="1:4" x14ac:dyDescent="0.3">
      <c r="A94" t="s">
        <v>793</v>
      </c>
      <c r="B94" t="s">
        <v>133</v>
      </c>
      <c r="D94" s="2">
        <v>44802.895196759258</v>
      </c>
    </row>
    <row r="95" spans="1:4" x14ac:dyDescent="0.3">
      <c r="A95" t="s">
        <v>793</v>
      </c>
      <c r="B95" t="s">
        <v>134</v>
      </c>
      <c r="D95" s="2">
        <v>44802.895196759258</v>
      </c>
    </row>
    <row r="96" spans="1:4" x14ac:dyDescent="0.3">
      <c r="A96" t="s">
        <v>793</v>
      </c>
      <c r="B96" t="s">
        <v>135</v>
      </c>
      <c r="D96" s="2">
        <v>44802.895196759258</v>
      </c>
    </row>
    <row r="97" spans="1:4" x14ac:dyDescent="0.3">
      <c r="A97" t="s">
        <v>793</v>
      </c>
      <c r="B97" t="s">
        <v>136</v>
      </c>
      <c r="D97" s="2">
        <v>44802.895196759258</v>
      </c>
    </row>
    <row r="98" spans="1:4" x14ac:dyDescent="0.3">
      <c r="A98" t="s">
        <v>793</v>
      </c>
      <c r="B98" t="s">
        <v>137</v>
      </c>
      <c r="D98" s="2">
        <v>44802.895196759258</v>
      </c>
    </row>
    <row r="99" spans="1:4" x14ac:dyDescent="0.3">
      <c r="A99" t="s">
        <v>793</v>
      </c>
      <c r="B99" t="s">
        <v>138</v>
      </c>
      <c r="D99" s="2">
        <v>44802.895196759258</v>
      </c>
    </row>
    <row r="100" spans="1:4" x14ac:dyDescent="0.3">
      <c r="A100" t="s">
        <v>793</v>
      </c>
      <c r="B100" t="s">
        <v>139</v>
      </c>
      <c r="D100" s="2">
        <v>44802.895208333335</v>
      </c>
    </row>
    <row r="101" spans="1:4" x14ac:dyDescent="0.3">
      <c r="A101" t="s">
        <v>793</v>
      </c>
      <c r="B101" t="s">
        <v>140</v>
      </c>
      <c r="D101" s="2">
        <v>44802.895208333335</v>
      </c>
    </row>
    <row r="102" spans="1:4" x14ac:dyDescent="0.3">
      <c r="A102" t="s">
        <v>793</v>
      </c>
      <c r="B102" t="s">
        <v>141</v>
      </c>
      <c r="D102" s="2">
        <v>44802.895208333335</v>
      </c>
    </row>
    <row r="103" spans="1:4" x14ac:dyDescent="0.3">
      <c r="A103" t="s">
        <v>793</v>
      </c>
      <c r="B103" t="s">
        <v>142</v>
      </c>
      <c r="D103" s="2">
        <v>44802.895208333335</v>
      </c>
    </row>
    <row r="104" spans="1:4" x14ac:dyDescent="0.3">
      <c r="A104" t="s">
        <v>793</v>
      </c>
      <c r="B104" t="s">
        <v>143</v>
      </c>
      <c r="D104" s="2">
        <v>44802.895208333335</v>
      </c>
    </row>
    <row r="105" spans="1:4" x14ac:dyDescent="0.3">
      <c r="A105" t="s">
        <v>793</v>
      </c>
      <c r="B105" t="s">
        <v>144</v>
      </c>
      <c r="C105" t="s">
        <v>749</v>
      </c>
      <c r="D105" s="2">
        <v>44802.895208333335</v>
      </c>
    </row>
    <row r="106" spans="1:4" x14ac:dyDescent="0.3">
      <c r="A106" t="s">
        <v>793</v>
      </c>
      <c r="B106" t="s">
        <v>148</v>
      </c>
      <c r="C106" t="s">
        <v>749</v>
      </c>
      <c r="D106" s="2">
        <v>44802.895219907405</v>
      </c>
    </row>
    <row r="107" spans="1:4" x14ac:dyDescent="0.3">
      <c r="A107" t="s">
        <v>793</v>
      </c>
      <c r="B107" t="s">
        <v>149</v>
      </c>
      <c r="C107" t="s">
        <v>749</v>
      </c>
      <c r="D107" s="2">
        <v>44802.895219907405</v>
      </c>
    </row>
    <row r="108" spans="1:4" x14ac:dyDescent="0.3">
      <c r="A108" t="s">
        <v>793</v>
      </c>
      <c r="B108" t="s">
        <v>150</v>
      </c>
      <c r="C108" t="s">
        <v>749</v>
      </c>
      <c r="D108" s="2">
        <v>44802.895219907405</v>
      </c>
    </row>
    <row r="109" spans="1:4" x14ac:dyDescent="0.3">
      <c r="A109" t="s">
        <v>793</v>
      </c>
      <c r="B109" t="s">
        <v>151</v>
      </c>
      <c r="C109" t="s">
        <v>749</v>
      </c>
      <c r="D109" s="2">
        <v>44802.895231481481</v>
      </c>
    </row>
    <row r="110" spans="1:4" x14ac:dyDescent="0.3">
      <c r="A110" t="s">
        <v>793</v>
      </c>
      <c r="B110" t="s">
        <v>152</v>
      </c>
      <c r="C110" t="s">
        <v>749</v>
      </c>
      <c r="D110" s="2">
        <v>44802.895231481481</v>
      </c>
    </row>
    <row r="111" spans="1:4" x14ac:dyDescent="0.3">
      <c r="A111" t="s">
        <v>793</v>
      </c>
      <c r="B111" t="s">
        <v>153</v>
      </c>
      <c r="C111" t="s">
        <v>749</v>
      </c>
      <c r="D111" s="2">
        <v>44802.895231481481</v>
      </c>
    </row>
    <row r="112" spans="1:4" x14ac:dyDescent="0.3">
      <c r="A112" t="s">
        <v>793</v>
      </c>
      <c r="B112" t="s">
        <v>154</v>
      </c>
      <c r="C112" t="s">
        <v>749</v>
      </c>
      <c r="D112" s="2">
        <v>44802.895231481481</v>
      </c>
    </row>
    <row r="113" spans="1:4" x14ac:dyDescent="0.3">
      <c r="A113" t="s">
        <v>793</v>
      </c>
      <c r="B113" t="s">
        <v>156</v>
      </c>
      <c r="C113" t="s">
        <v>749</v>
      </c>
      <c r="D113" s="2">
        <v>44802.895243055558</v>
      </c>
    </row>
    <row r="114" spans="1:4" x14ac:dyDescent="0.3">
      <c r="A114" t="s">
        <v>793</v>
      </c>
      <c r="B114" t="s">
        <v>157</v>
      </c>
      <c r="C114" t="s">
        <v>749</v>
      </c>
      <c r="D114" s="2">
        <v>44802.895243055558</v>
      </c>
    </row>
    <row r="115" spans="1:4" x14ac:dyDescent="0.3">
      <c r="A115" t="s">
        <v>793</v>
      </c>
      <c r="B115" t="s">
        <v>158</v>
      </c>
      <c r="C115" t="s">
        <v>749</v>
      </c>
      <c r="D115" s="2">
        <v>44802.895243055558</v>
      </c>
    </row>
    <row r="116" spans="1:4" x14ac:dyDescent="0.3">
      <c r="A116" t="s">
        <v>793</v>
      </c>
      <c r="B116" t="s">
        <v>160</v>
      </c>
      <c r="C116" t="s">
        <v>749</v>
      </c>
      <c r="D116" s="2">
        <v>44802.895243055558</v>
      </c>
    </row>
    <row r="117" spans="1:4" x14ac:dyDescent="0.3">
      <c r="A117" t="s">
        <v>793</v>
      </c>
      <c r="B117" t="s">
        <v>161</v>
      </c>
      <c r="C117" t="s">
        <v>749</v>
      </c>
      <c r="D117" s="2">
        <v>44802.895254629628</v>
      </c>
    </row>
    <row r="118" spans="1:4" x14ac:dyDescent="0.3">
      <c r="A118" t="s">
        <v>793</v>
      </c>
      <c r="B118" t="s">
        <v>162</v>
      </c>
      <c r="C118" t="s">
        <v>749</v>
      </c>
      <c r="D118" s="2">
        <v>44802.895254629628</v>
      </c>
    </row>
    <row r="119" spans="1:4" x14ac:dyDescent="0.3">
      <c r="A119" t="s">
        <v>793</v>
      </c>
      <c r="B119" t="s">
        <v>164</v>
      </c>
      <c r="C119" t="s">
        <v>749</v>
      </c>
      <c r="D119" s="2">
        <v>44802.895254629628</v>
      </c>
    </row>
    <row r="120" spans="1:4" x14ac:dyDescent="0.3">
      <c r="A120" t="s">
        <v>793</v>
      </c>
      <c r="B120" t="s">
        <v>165</v>
      </c>
      <c r="C120" t="s">
        <v>749</v>
      </c>
      <c r="D120" s="2">
        <v>44802.895254629628</v>
      </c>
    </row>
    <row r="121" spans="1:4" x14ac:dyDescent="0.3">
      <c r="A121" t="s">
        <v>793</v>
      </c>
      <c r="B121" t="s">
        <v>166</v>
      </c>
      <c r="C121" t="s">
        <v>749</v>
      </c>
      <c r="D121" s="2">
        <v>44802.895266203705</v>
      </c>
    </row>
    <row r="122" spans="1:4" x14ac:dyDescent="0.3">
      <c r="A122" t="s">
        <v>793</v>
      </c>
      <c r="B122" t="s">
        <v>168</v>
      </c>
      <c r="C122" t="s">
        <v>749</v>
      </c>
      <c r="D122" s="2">
        <v>44802.895266203705</v>
      </c>
    </row>
    <row r="123" spans="1:4" x14ac:dyDescent="0.3">
      <c r="A123" t="s">
        <v>793</v>
      </c>
      <c r="B123" t="s">
        <v>169</v>
      </c>
      <c r="C123" t="s">
        <v>749</v>
      </c>
      <c r="D123" s="2">
        <v>44802.895266203705</v>
      </c>
    </row>
    <row r="124" spans="1:4" x14ac:dyDescent="0.3">
      <c r="A124" t="s">
        <v>793</v>
      </c>
      <c r="B124" t="s">
        <v>170</v>
      </c>
      <c r="C124" t="s">
        <v>749</v>
      </c>
      <c r="D124" s="2">
        <v>44802.895266203705</v>
      </c>
    </row>
    <row r="125" spans="1:4" x14ac:dyDescent="0.3">
      <c r="A125" t="s">
        <v>793</v>
      </c>
      <c r="B125" t="s">
        <v>172</v>
      </c>
      <c r="C125" t="s">
        <v>749</v>
      </c>
      <c r="D125" s="2">
        <v>44802.895277777781</v>
      </c>
    </row>
    <row r="126" spans="1:4" x14ac:dyDescent="0.3">
      <c r="A126" t="s">
        <v>793</v>
      </c>
      <c r="B126" t="s">
        <v>173</v>
      </c>
      <c r="C126" t="s">
        <v>749</v>
      </c>
      <c r="D126" s="2">
        <v>44802.895277777781</v>
      </c>
    </row>
    <row r="127" spans="1:4" x14ac:dyDescent="0.3">
      <c r="A127" t="s">
        <v>793</v>
      </c>
      <c r="B127" t="s">
        <v>174</v>
      </c>
      <c r="C127" t="s">
        <v>749</v>
      </c>
      <c r="D127" s="2">
        <v>44802.895277777781</v>
      </c>
    </row>
    <row r="128" spans="1:4" x14ac:dyDescent="0.3">
      <c r="A128" t="s">
        <v>793</v>
      </c>
      <c r="B128" t="s">
        <v>176</v>
      </c>
      <c r="D128" s="2">
        <v>44802.895289351851</v>
      </c>
    </row>
    <row r="129" spans="1:4" x14ac:dyDescent="0.3">
      <c r="A129" t="s">
        <v>793</v>
      </c>
      <c r="B129" t="s">
        <v>13</v>
      </c>
      <c r="D129" s="2">
        <v>44802.895289351851</v>
      </c>
    </row>
    <row r="130" spans="1:4" x14ac:dyDescent="0.3">
      <c r="A130" t="s">
        <v>793</v>
      </c>
      <c r="B130" t="s">
        <v>177</v>
      </c>
      <c r="D130" s="2">
        <v>44802.895289351851</v>
      </c>
    </row>
    <row r="131" spans="1:4" x14ac:dyDescent="0.3">
      <c r="A131" t="s">
        <v>793</v>
      </c>
      <c r="B131" t="s">
        <v>178</v>
      </c>
      <c r="D131" s="2">
        <v>44802.895289351851</v>
      </c>
    </row>
    <row r="132" spans="1:4" x14ac:dyDescent="0.3">
      <c r="A132" t="s">
        <v>793</v>
      </c>
      <c r="B132" t="s">
        <v>179</v>
      </c>
      <c r="D132" s="2">
        <v>44802.895289351851</v>
      </c>
    </row>
    <row r="133" spans="1:4" x14ac:dyDescent="0.3">
      <c r="A133" t="s">
        <v>793</v>
      </c>
      <c r="B133" t="s">
        <v>180</v>
      </c>
      <c r="D133" s="2">
        <v>44802.895289351851</v>
      </c>
    </row>
    <row r="134" spans="1:4" x14ac:dyDescent="0.3">
      <c r="A134" t="s">
        <v>793</v>
      </c>
      <c r="B134" t="s">
        <v>181</v>
      </c>
      <c r="D134" s="2">
        <v>44802.895289351851</v>
      </c>
    </row>
    <row r="135" spans="1:4" x14ac:dyDescent="0.3">
      <c r="A135" t="s">
        <v>793</v>
      </c>
      <c r="B135" t="s">
        <v>182</v>
      </c>
      <c r="D135" s="2">
        <v>44802.895300925928</v>
      </c>
    </row>
    <row r="136" spans="1:4" x14ac:dyDescent="0.3">
      <c r="A136" t="s">
        <v>793</v>
      </c>
      <c r="B136" t="s">
        <v>184</v>
      </c>
      <c r="D136" s="2">
        <v>44802.895300925928</v>
      </c>
    </row>
    <row r="137" spans="1:4" x14ac:dyDescent="0.3">
      <c r="A137" t="s">
        <v>793</v>
      </c>
      <c r="B137" t="s">
        <v>185</v>
      </c>
      <c r="D137" s="2">
        <v>44802.895300925928</v>
      </c>
    </row>
    <row r="138" spans="1:4" x14ac:dyDescent="0.3">
      <c r="A138" t="s">
        <v>793</v>
      </c>
      <c r="B138" t="s">
        <v>186</v>
      </c>
      <c r="D138" s="2">
        <v>44802.895300925928</v>
      </c>
    </row>
    <row r="139" spans="1:4" x14ac:dyDescent="0.3">
      <c r="A139" t="s">
        <v>793</v>
      </c>
      <c r="B139" t="s">
        <v>187</v>
      </c>
      <c r="D139" s="2">
        <v>44802.895300925928</v>
      </c>
    </row>
    <row r="140" spans="1:4" x14ac:dyDescent="0.3">
      <c r="A140" t="s">
        <v>793</v>
      </c>
      <c r="B140" t="s">
        <v>188</v>
      </c>
      <c r="D140" s="2">
        <v>44802.895312499997</v>
      </c>
    </row>
    <row r="141" spans="1:4" x14ac:dyDescent="0.3">
      <c r="A141" t="s">
        <v>793</v>
      </c>
      <c r="B141" t="s">
        <v>189</v>
      </c>
      <c r="D141" s="2">
        <v>44802.895312499997</v>
      </c>
    </row>
    <row r="142" spans="1:4" x14ac:dyDescent="0.3">
      <c r="A142" t="s">
        <v>793</v>
      </c>
      <c r="B142" t="s">
        <v>190</v>
      </c>
      <c r="D142" s="2">
        <v>44802.895312499997</v>
      </c>
    </row>
    <row r="143" spans="1:4" x14ac:dyDescent="0.3">
      <c r="A143" t="s">
        <v>793</v>
      </c>
      <c r="B143" t="s">
        <v>191</v>
      </c>
      <c r="D143" s="2">
        <v>44802.895312499997</v>
      </c>
    </row>
    <row r="144" spans="1:4" x14ac:dyDescent="0.3">
      <c r="A144" t="s">
        <v>793</v>
      </c>
      <c r="B144" t="s">
        <v>192</v>
      </c>
      <c r="D144" s="2">
        <v>44802.895312499997</v>
      </c>
    </row>
    <row r="145" spans="1:4" x14ac:dyDescent="0.3">
      <c r="A145" t="s">
        <v>793</v>
      </c>
      <c r="B145" t="s">
        <v>193</v>
      </c>
      <c r="D145" s="2">
        <v>44802.895312499997</v>
      </c>
    </row>
    <row r="146" spans="1:4" x14ac:dyDescent="0.3">
      <c r="A146" t="s">
        <v>793</v>
      </c>
      <c r="B146" t="s">
        <v>194</v>
      </c>
      <c r="D146" s="2">
        <v>44802.895324074074</v>
      </c>
    </row>
    <row r="147" spans="1:4" x14ac:dyDescent="0.3">
      <c r="A147" t="s">
        <v>793</v>
      </c>
      <c r="B147" t="s">
        <v>195</v>
      </c>
      <c r="D147" s="2">
        <v>44802.895324074074</v>
      </c>
    </row>
    <row r="148" spans="1:4" x14ac:dyDescent="0.3">
      <c r="A148" t="s">
        <v>793</v>
      </c>
      <c r="B148" t="s">
        <v>196</v>
      </c>
      <c r="D148" s="2">
        <v>44802.895324074074</v>
      </c>
    </row>
    <row r="149" spans="1:4" x14ac:dyDescent="0.3">
      <c r="A149" t="s">
        <v>793</v>
      </c>
      <c r="B149" t="s">
        <v>197</v>
      </c>
      <c r="D149" s="2">
        <v>44802.895324074074</v>
      </c>
    </row>
    <row r="150" spans="1:4" x14ac:dyDescent="0.3">
      <c r="A150" t="s">
        <v>793</v>
      </c>
      <c r="B150" t="s">
        <v>198</v>
      </c>
      <c r="D150" s="2">
        <v>44802.895324074074</v>
      </c>
    </row>
    <row r="151" spans="1:4" x14ac:dyDescent="0.3">
      <c r="A151" t="s">
        <v>793</v>
      </c>
      <c r="B151" t="s">
        <v>199</v>
      </c>
      <c r="D151" s="2">
        <v>44802.895324074074</v>
      </c>
    </row>
    <row r="152" spans="1:4" x14ac:dyDescent="0.3">
      <c r="A152" t="s">
        <v>793</v>
      </c>
      <c r="B152" t="s">
        <v>200</v>
      </c>
      <c r="D152" s="2">
        <v>44802.895324074074</v>
      </c>
    </row>
    <row r="153" spans="1:4" x14ac:dyDescent="0.3">
      <c r="A153" t="s">
        <v>793</v>
      </c>
      <c r="B153" t="s">
        <v>201</v>
      </c>
      <c r="D153" s="2">
        <v>44802.895335648151</v>
      </c>
    </row>
    <row r="154" spans="1:4" x14ac:dyDescent="0.3">
      <c r="A154" t="s">
        <v>793</v>
      </c>
      <c r="B154" t="s">
        <v>202</v>
      </c>
      <c r="D154" s="2">
        <v>44802.895335648151</v>
      </c>
    </row>
    <row r="155" spans="1:4" x14ac:dyDescent="0.3">
      <c r="A155" t="s">
        <v>793</v>
      </c>
      <c r="B155" t="s">
        <v>203</v>
      </c>
      <c r="D155" s="2">
        <v>44802.895335648151</v>
      </c>
    </row>
    <row r="156" spans="1:4" x14ac:dyDescent="0.3">
      <c r="A156" t="s">
        <v>793</v>
      </c>
      <c r="B156" t="s">
        <v>204</v>
      </c>
      <c r="D156" s="2">
        <v>44802.895335648151</v>
      </c>
    </row>
    <row r="157" spans="1:4" x14ac:dyDescent="0.3">
      <c r="A157" t="s">
        <v>793</v>
      </c>
      <c r="B157" t="s">
        <v>205</v>
      </c>
      <c r="D157" s="2">
        <v>44802.895335648151</v>
      </c>
    </row>
    <row r="158" spans="1:4" x14ac:dyDescent="0.3">
      <c r="A158" t="s">
        <v>793</v>
      </c>
      <c r="B158" t="s">
        <v>206</v>
      </c>
      <c r="D158" s="2">
        <v>44802.895335648151</v>
      </c>
    </row>
    <row r="159" spans="1:4" x14ac:dyDescent="0.3">
      <c r="A159" t="s">
        <v>793</v>
      </c>
      <c r="B159" t="s">
        <v>207</v>
      </c>
      <c r="C159" t="s">
        <v>757</v>
      </c>
      <c r="D159" s="2">
        <v>44802.89534722222</v>
      </c>
    </row>
    <row r="160" spans="1:4" x14ac:dyDescent="0.3">
      <c r="A160" t="s">
        <v>793</v>
      </c>
      <c r="B160" t="s">
        <v>208</v>
      </c>
      <c r="D160" s="2">
        <v>44802.89534722222</v>
      </c>
    </row>
    <row r="161" spans="1:4" x14ac:dyDescent="0.3">
      <c r="A161" t="s">
        <v>793</v>
      </c>
      <c r="B161" t="s">
        <v>209</v>
      </c>
      <c r="D161" s="2">
        <v>44802.89534722222</v>
      </c>
    </row>
    <row r="162" spans="1:4" x14ac:dyDescent="0.3">
      <c r="A162" t="s">
        <v>793</v>
      </c>
      <c r="B162" t="s">
        <v>210</v>
      </c>
      <c r="D162" s="2">
        <v>44802.89534722222</v>
      </c>
    </row>
    <row r="163" spans="1:4" x14ac:dyDescent="0.3">
      <c r="A163" t="s">
        <v>793</v>
      </c>
      <c r="B163" t="s">
        <v>212</v>
      </c>
      <c r="C163">
        <v>4904727</v>
      </c>
      <c r="D163" s="2">
        <v>44802.89534722222</v>
      </c>
    </row>
    <row r="164" spans="1:4" x14ac:dyDescent="0.3">
      <c r="A164" t="s">
        <v>793</v>
      </c>
      <c r="B164" t="s">
        <v>213</v>
      </c>
      <c r="C164">
        <v>4903092</v>
      </c>
      <c r="D164" s="2">
        <v>44802.895358796297</v>
      </c>
    </row>
    <row r="165" spans="1:4" x14ac:dyDescent="0.3">
      <c r="A165" t="s">
        <v>793</v>
      </c>
      <c r="B165" t="s">
        <v>214</v>
      </c>
      <c r="C165">
        <v>4902764</v>
      </c>
      <c r="D165" s="2">
        <v>44802.895358796297</v>
      </c>
    </row>
    <row r="166" spans="1:4" x14ac:dyDescent="0.3">
      <c r="A166" t="s">
        <v>793</v>
      </c>
      <c r="B166" t="s">
        <v>217</v>
      </c>
      <c r="C166">
        <v>4904718</v>
      </c>
      <c r="D166" s="2">
        <v>44802.895358796297</v>
      </c>
    </row>
    <row r="167" spans="1:4" x14ac:dyDescent="0.3">
      <c r="A167" t="s">
        <v>793</v>
      </c>
      <c r="B167" t="s">
        <v>219</v>
      </c>
      <c r="C167">
        <v>4903040</v>
      </c>
      <c r="D167" s="2">
        <v>44802.895370370374</v>
      </c>
    </row>
    <row r="168" spans="1:4" x14ac:dyDescent="0.3">
      <c r="A168" t="s">
        <v>793</v>
      </c>
      <c r="B168" t="s">
        <v>221</v>
      </c>
      <c r="C168">
        <v>4902806</v>
      </c>
      <c r="D168" s="2">
        <v>44802.895370370374</v>
      </c>
    </row>
    <row r="169" spans="1:4" x14ac:dyDescent="0.3">
      <c r="A169" t="s">
        <v>793</v>
      </c>
      <c r="B169" t="s">
        <v>222</v>
      </c>
      <c r="C169">
        <v>4902806</v>
      </c>
      <c r="D169" s="2">
        <v>44802.895370370374</v>
      </c>
    </row>
    <row r="170" spans="1:4" x14ac:dyDescent="0.3">
      <c r="A170" t="s">
        <v>793</v>
      </c>
      <c r="B170" t="s">
        <v>224</v>
      </c>
      <c r="C170">
        <v>4908256</v>
      </c>
      <c r="D170" s="2">
        <v>44802.895381944443</v>
      </c>
    </row>
    <row r="171" spans="1:4" x14ac:dyDescent="0.3">
      <c r="A171" t="s">
        <v>793</v>
      </c>
      <c r="B171" t="s">
        <v>225</v>
      </c>
      <c r="C171">
        <v>4902726</v>
      </c>
      <c r="D171" s="2">
        <v>44802.895381944443</v>
      </c>
    </row>
    <row r="172" spans="1:4" x14ac:dyDescent="0.3">
      <c r="A172" t="s">
        <v>793</v>
      </c>
      <c r="B172" t="s">
        <v>226</v>
      </c>
      <c r="C172">
        <v>4908227</v>
      </c>
      <c r="D172" s="2">
        <v>44802.895381944443</v>
      </c>
    </row>
    <row r="173" spans="1:4" x14ac:dyDescent="0.3">
      <c r="A173" t="s">
        <v>793</v>
      </c>
      <c r="B173" t="s">
        <v>227</v>
      </c>
      <c r="C173">
        <v>4908256</v>
      </c>
      <c r="D173" s="2">
        <v>44802.895381944443</v>
      </c>
    </row>
    <row r="174" spans="1:4" x14ac:dyDescent="0.3">
      <c r="A174" t="s">
        <v>793</v>
      </c>
      <c r="B174" t="s">
        <v>228</v>
      </c>
      <c r="C174">
        <v>4908228</v>
      </c>
      <c r="D174" s="2">
        <v>44802.89539351852</v>
      </c>
    </row>
    <row r="175" spans="1:4" x14ac:dyDescent="0.3">
      <c r="A175" t="s">
        <v>793</v>
      </c>
      <c r="B175" t="s">
        <v>229</v>
      </c>
      <c r="C175">
        <v>4908227</v>
      </c>
      <c r="D175" s="2">
        <v>44802.89539351852</v>
      </c>
    </row>
    <row r="176" spans="1:4" x14ac:dyDescent="0.3">
      <c r="A176" t="s">
        <v>793</v>
      </c>
      <c r="B176" t="s">
        <v>230</v>
      </c>
      <c r="C176">
        <v>4908228</v>
      </c>
      <c r="D176" s="2">
        <v>44802.89539351852</v>
      </c>
    </row>
    <row r="177" spans="1:4" x14ac:dyDescent="0.3">
      <c r="A177" t="s">
        <v>793</v>
      </c>
      <c r="B177" t="s">
        <v>231</v>
      </c>
      <c r="C177">
        <v>4902848</v>
      </c>
      <c r="D177" s="2">
        <v>44802.89539351852</v>
      </c>
    </row>
    <row r="178" spans="1:4" x14ac:dyDescent="0.3">
      <c r="A178" t="s">
        <v>793</v>
      </c>
      <c r="B178" t="s">
        <v>232</v>
      </c>
      <c r="C178">
        <v>4908258</v>
      </c>
      <c r="D178" s="2">
        <v>44802.89539351852</v>
      </c>
    </row>
    <row r="179" spans="1:4" x14ac:dyDescent="0.3">
      <c r="A179" t="s">
        <v>793</v>
      </c>
      <c r="B179" t="s">
        <v>233</v>
      </c>
      <c r="C179">
        <v>4903048</v>
      </c>
      <c r="D179" s="2">
        <v>44802.895405092589</v>
      </c>
    </row>
    <row r="180" spans="1:4" x14ac:dyDescent="0.3">
      <c r="A180" t="s">
        <v>793</v>
      </c>
      <c r="B180" t="s">
        <v>234</v>
      </c>
      <c r="C180">
        <v>4903242</v>
      </c>
      <c r="D180" s="2">
        <v>44802.895405092589</v>
      </c>
    </row>
    <row r="181" spans="1:4" x14ac:dyDescent="0.3">
      <c r="A181" t="s">
        <v>793</v>
      </c>
      <c r="B181" t="s">
        <v>235</v>
      </c>
      <c r="C181">
        <v>4903242</v>
      </c>
      <c r="D181" s="2">
        <v>44802.895405092589</v>
      </c>
    </row>
    <row r="182" spans="1:4" x14ac:dyDescent="0.3">
      <c r="A182" t="s">
        <v>793</v>
      </c>
      <c r="B182" t="s">
        <v>236</v>
      </c>
      <c r="C182">
        <v>4903242</v>
      </c>
      <c r="D182" s="2">
        <v>44802.895405092589</v>
      </c>
    </row>
    <row r="183" spans="1:4" x14ac:dyDescent="0.3">
      <c r="A183" t="s">
        <v>793</v>
      </c>
      <c r="B183" t="s">
        <v>237</v>
      </c>
      <c r="C183">
        <v>4903058</v>
      </c>
      <c r="D183" s="2">
        <v>44802.895405092589</v>
      </c>
    </row>
    <row r="184" spans="1:4" x14ac:dyDescent="0.3">
      <c r="A184" t="s">
        <v>793</v>
      </c>
      <c r="B184" t="s">
        <v>238</v>
      </c>
      <c r="D184" s="2">
        <v>44802.895416666666</v>
      </c>
    </row>
    <row r="185" spans="1:4" x14ac:dyDescent="0.3">
      <c r="A185" t="s">
        <v>793</v>
      </c>
      <c r="B185" t="s">
        <v>239</v>
      </c>
      <c r="D185" s="2">
        <v>44802.895416666666</v>
      </c>
    </row>
    <row r="186" spans="1:4" x14ac:dyDescent="0.3">
      <c r="A186" t="s">
        <v>793</v>
      </c>
      <c r="B186" t="s">
        <v>240</v>
      </c>
      <c r="D186" s="2">
        <v>44802.895416666666</v>
      </c>
    </row>
    <row r="187" spans="1:4" x14ac:dyDescent="0.3">
      <c r="A187" t="s">
        <v>793</v>
      </c>
      <c r="B187" t="s">
        <v>241</v>
      </c>
      <c r="D187" s="2">
        <v>44802.895416666666</v>
      </c>
    </row>
    <row r="188" spans="1:4" x14ac:dyDescent="0.3">
      <c r="A188" t="s">
        <v>793</v>
      </c>
      <c r="B188" t="s">
        <v>243</v>
      </c>
      <c r="C188">
        <v>4906051</v>
      </c>
      <c r="D188" s="2">
        <v>44802.895416666666</v>
      </c>
    </row>
    <row r="189" spans="1:4" x14ac:dyDescent="0.3">
      <c r="A189" t="s">
        <v>793</v>
      </c>
      <c r="B189" t="s">
        <v>244</v>
      </c>
      <c r="C189">
        <v>4904727</v>
      </c>
      <c r="D189" s="2">
        <v>44802.895428240743</v>
      </c>
    </row>
    <row r="190" spans="1:4" x14ac:dyDescent="0.3">
      <c r="A190" t="s">
        <v>793</v>
      </c>
      <c r="B190" t="s">
        <v>245</v>
      </c>
      <c r="D190" s="2">
        <v>44802.895428240743</v>
      </c>
    </row>
    <row r="191" spans="1:4" x14ac:dyDescent="0.3">
      <c r="A191" t="s">
        <v>793</v>
      </c>
      <c r="B191" t="s">
        <v>246</v>
      </c>
      <c r="C191">
        <v>4902764</v>
      </c>
      <c r="D191" s="2">
        <v>44802.895428240743</v>
      </c>
    </row>
    <row r="192" spans="1:4" x14ac:dyDescent="0.3">
      <c r="A192" t="s">
        <v>793</v>
      </c>
      <c r="B192" t="s">
        <v>247</v>
      </c>
      <c r="C192">
        <v>4903144</v>
      </c>
      <c r="D192" s="2">
        <v>44802.895428240743</v>
      </c>
    </row>
    <row r="193" spans="1:4" x14ac:dyDescent="0.3">
      <c r="A193" t="s">
        <v>793</v>
      </c>
      <c r="B193" t="s">
        <v>249</v>
      </c>
      <c r="C193">
        <v>4904718</v>
      </c>
      <c r="D193" s="2">
        <v>44802.895439814813</v>
      </c>
    </row>
    <row r="194" spans="1:4" x14ac:dyDescent="0.3">
      <c r="A194" t="s">
        <v>793</v>
      </c>
      <c r="B194" t="s">
        <v>251</v>
      </c>
      <c r="C194">
        <v>4903040</v>
      </c>
      <c r="D194" s="2">
        <v>44802.895439814813</v>
      </c>
    </row>
    <row r="195" spans="1:4" x14ac:dyDescent="0.3">
      <c r="A195" t="s">
        <v>793</v>
      </c>
      <c r="B195" t="s">
        <v>253</v>
      </c>
      <c r="D195" s="2">
        <v>44802.895439814813</v>
      </c>
    </row>
    <row r="196" spans="1:4" x14ac:dyDescent="0.3">
      <c r="A196" t="s">
        <v>793</v>
      </c>
      <c r="B196" t="s">
        <v>254</v>
      </c>
      <c r="C196">
        <v>4902806</v>
      </c>
      <c r="D196" s="2">
        <v>44802.895451388889</v>
      </c>
    </row>
    <row r="197" spans="1:4" x14ac:dyDescent="0.3">
      <c r="A197" t="s">
        <v>793</v>
      </c>
      <c r="B197" t="s">
        <v>256</v>
      </c>
      <c r="C197">
        <v>4908256</v>
      </c>
      <c r="D197" s="2">
        <v>44802.895451388889</v>
      </c>
    </row>
    <row r="198" spans="1:4" x14ac:dyDescent="0.3">
      <c r="A198" t="s">
        <v>793</v>
      </c>
      <c r="B198" t="s">
        <v>257</v>
      </c>
      <c r="D198" s="2">
        <v>44802.895451388889</v>
      </c>
    </row>
    <row r="199" spans="1:4" x14ac:dyDescent="0.3">
      <c r="A199" t="s">
        <v>793</v>
      </c>
      <c r="B199" t="s">
        <v>258</v>
      </c>
      <c r="C199">
        <v>4908227</v>
      </c>
      <c r="D199" s="2">
        <v>44802.895451388889</v>
      </c>
    </row>
    <row r="200" spans="1:4" x14ac:dyDescent="0.3">
      <c r="A200" t="s">
        <v>793</v>
      </c>
      <c r="B200" t="s">
        <v>259</v>
      </c>
      <c r="C200">
        <v>4908256</v>
      </c>
      <c r="D200" s="2">
        <v>44802.895462962966</v>
      </c>
    </row>
    <row r="201" spans="1:4" x14ac:dyDescent="0.3">
      <c r="A201" t="s">
        <v>793</v>
      </c>
      <c r="B201" t="s">
        <v>260</v>
      </c>
      <c r="C201">
        <v>4908228</v>
      </c>
      <c r="D201" s="2">
        <v>44802.895462962966</v>
      </c>
    </row>
    <row r="202" spans="1:4" x14ac:dyDescent="0.3">
      <c r="A202" t="s">
        <v>793</v>
      </c>
      <c r="B202" t="s">
        <v>261</v>
      </c>
      <c r="C202">
        <v>4908227</v>
      </c>
      <c r="D202" s="2">
        <v>44802.895462962966</v>
      </c>
    </row>
    <row r="203" spans="1:4" x14ac:dyDescent="0.3">
      <c r="A203" t="s">
        <v>793</v>
      </c>
      <c r="B203" t="s">
        <v>262</v>
      </c>
      <c r="C203">
        <v>4908228</v>
      </c>
      <c r="D203" s="2">
        <v>44802.895462962966</v>
      </c>
    </row>
    <row r="204" spans="1:4" x14ac:dyDescent="0.3">
      <c r="A204" t="s">
        <v>793</v>
      </c>
      <c r="B204" t="s">
        <v>263</v>
      </c>
      <c r="D204" s="2">
        <v>44802.895462962966</v>
      </c>
    </row>
    <row r="205" spans="1:4" x14ac:dyDescent="0.3">
      <c r="A205" t="s">
        <v>793</v>
      </c>
      <c r="B205" t="s">
        <v>264</v>
      </c>
      <c r="C205">
        <v>4908258</v>
      </c>
      <c r="D205" s="2">
        <v>44802.895474537036</v>
      </c>
    </row>
    <row r="206" spans="1:4" x14ac:dyDescent="0.3">
      <c r="A206" t="s">
        <v>793</v>
      </c>
      <c r="B206" t="s">
        <v>265</v>
      </c>
      <c r="D206" s="2">
        <v>44802.895474537036</v>
      </c>
    </row>
    <row r="207" spans="1:4" x14ac:dyDescent="0.3">
      <c r="A207" t="s">
        <v>793</v>
      </c>
      <c r="B207" t="s">
        <v>266</v>
      </c>
      <c r="D207" s="2">
        <v>44802.895474537036</v>
      </c>
    </row>
    <row r="208" spans="1:4" x14ac:dyDescent="0.3">
      <c r="A208" t="s">
        <v>793</v>
      </c>
      <c r="B208" t="s">
        <v>267</v>
      </c>
      <c r="C208">
        <v>4903242</v>
      </c>
      <c r="D208" s="2">
        <v>44802.895474537036</v>
      </c>
    </row>
    <row r="209" spans="1:4" x14ac:dyDescent="0.3">
      <c r="A209" t="s">
        <v>793</v>
      </c>
      <c r="B209" t="s">
        <v>268</v>
      </c>
      <c r="C209">
        <v>4903242</v>
      </c>
      <c r="D209" s="2">
        <v>44802.895474537036</v>
      </c>
    </row>
    <row r="210" spans="1:4" x14ac:dyDescent="0.3">
      <c r="A210" t="s">
        <v>793</v>
      </c>
      <c r="B210" t="s">
        <v>269</v>
      </c>
      <c r="C210">
        <v>4903058</v>
      </c>
      <c r="D210" s="2">
        <v>44802.895486111112</v>
      </c>
    </row>
    <row r="211" spans="1:4" x14ac:dyDescent="0.3">
      <c r="A211" t="s">
        <v>793</v>
      </c>
      <c r="B211" t="s">
        <v>271</v>
      </c>
      <c r="C211" t="s">
        <v>5</v>
      </c>
      <c r="D211" s="2">
        <v>44802.895486111112</v>
      </c>
    </row>
    <row r="212" spans="1:4" x14ac:dyDescent="0.3">
      <c r="A212" t="s">
        <v>793</v>
      </c>
      <c r="B212" t="s">
        <v>272</v>
      </c>
      <c r="C212" t="s">
        <v>5</v>
      </c>
      <c r="D212" s="2">
        <v>44802.895486111112</v>
      </c>
    </row>
    <row r="213" spans="1:4" x14ac:dyDescent="0.3">
      <c r="A213" t="s">
        <v>793</v>
      </c>
      <c r="B213" t="s">
        <v>273</v>
      </c>
      <c r="C213" t="s">
        <v>5</v>
      </c>
      <c r="D213" s="2">
        <v>44802.895486111112</v>
      </c>
    </row>
    <row r="214" spans="1:4" x14ac:dyDescent="0.3">
      <c r="A214" t="s">
        <v>793</v>
      </c>
      <c r="B214" t="s">
        <v>275</v>
      </c>
      <c r="C214" t="s">
        <v>5</v>
      </c>
      <c r="D214" s="2">
        <v>44802.895497685182</v>
      </c>
    </row>
    <row r="215" spans="1:4" x14ac:dyDescent="0.3">
      <c r="A215" t="s">
        <v>793</v>
      </c>
      <c r="B215" t="s">
        <v>276</v>
      </c>
      <c r="C215" t="s">
        <v>5</v>
      </c>
      <c r="D215" s="2">
        <v>44802.895497685182</v>
      </c>
    </row>
    <row r="216" spans="1:4" x14ac:dyDescent="0.3">
      <c r="A216" t="s">
        <v>793</v>
      </c>
      <c r="B216" t="s">
        <v>277</v>
      </c>
      <c r="C216" t="s">
        <v>5</v>
      </c>
      <c r="D216" s="2">
        <v>44802.895497685182</v>
      </c>
    </row>
    <row r="217" spans="1:4" x14ac:dyDescent="0.3">
      <c r="A217" t="s">
        <v>793</v>
      </c>
      <c r="B217" t="s">
        <v>279</v>
      </c>
      <c r="C217" t="s">
        <v>5</v>
      </c>
      <c r="D217" s="2">
        <v>44802.895509259259</v>
      </c>
    </row>
    <row r="218" spans="1:4" x14ac:dyDescent="0.3">
      <c r="A218" t="s">
        <v>793</v>
      </c>
      <c r="B218" t="s">
        <v>280</v>
      </c>
      <c r="C218" t="s">
        <v>5</v>
      </c>
      <c r="D218" s="2">
        <v>44802.895509259259</v>
      </c>
    </row>
    <row r="219" spans="1:4" x14ac:dyDescent="0.3">
      <c r="A219" t="s">
        <v>793</v>
      </c>
      <c r="B219" t="s">
        <v>287</v>
      </c>
      <c r="C219" t="s">
        <v>5</v>
      </c>
      <c r="D219" s="2">
        <v>44802.895520833335</v>
      </c>
    </row>
    <row r="220" spans="1:4" x14ac:dyDescent="0.3">
      <c r="A220" t="s">
        <v>793</v>
      </c>
      <c r="B220" t="s">
        <v>288</v>
      </c>
      <c r="C220" t="s">
        <v>5</v>
      </c>
      <c r="D220" s="2">
        <v>44802.895520833335</v>
      </c>
    </row>
    <row r="221" spans="1:4" x14ac:dyDescent="0.3">
      <c r="A221" t="s">
        <v>793</v>
      </c>
      <c r="B221" t="s">
        <v>289</v>
      </c>
      <c r="C221" t="s">
        <v>5</v>
      </c>
      <c r="D221" s="2">
        <v>44802.895520833335</v>
      </c>
    </row>
    <row r="222" spans="1:4" x14ac:dyDescent="0.3">
      <c r="A222" t="s">
        <v>793</v>
      </c>
      <c r="B222" t="s">
        <v>291</v>
      </c>
      <c r="D222" s="2">
        <v>44802.895532407405</v>
      </c>
    </row>
    <row r="223" spans="1:4" x14ac:dyDescent="0.3">
      <c r="A223" t="s">
        <v>793</v>
      </c>
      <c r="B223" t="s">
        <v>292</v>
      </c>
      <c r="C223" t="s">
        <v>5</v>
      </c>
      <c r="D223" s="2">
        <v>44802.895532407405</v>
      </c>
    </row>
    <row r="224" spans="1:4" x14ac:dyDescent="0.3">
      <c r="A224" t="s">
        <v>793</v>
      </c>
      <c r="B224" t="s">
        <v>293</v>
      </c>
      <c r="C224" t="s">
        <v>5</v>
      </c>
      <c r="D224" s="2">
        <v>44802.895532407405</v>
      </c>
    </row>
    <row r="225" spans="1:4" x14ac:dyDescent="0.3">
      <c r="A225" t="s">
        <v>793</v>
      </c>
      <c r="B225" t="s">
        <v>295</v>
      </c>
      <c r="C225" t="s">
        <v>5</v>
      </c>
      <c r="D225" s="2">
        <v>44802.895532407405</v>
      </c>
    </row>
    <row r="226" spans="1:4" x14ac:dyDescent="0.3">
      <c r="A226" t="s">
        <v>793</v>
      </c>
      <c r="B226" t="s">
        <v>296</v>
      </c>
      <c r="C226" t="s">
        <v>5</v>
      </c>
      <c r="D226" s="2">
        <v>44802.895532407405</v>
      </c>
    </row>
    <row r="227" spans="1:4" x14ac:dyDescent="0.3">
      <c r="A227" t="s">
        <v>793</v>
      </c>
      <c r="B227" t="s">
        <v>297</v>
      </c>
      <c r="C227" t="s">
        <v>5</v>
      </c>
      <c r="D227" s="2">
        <v>44802.895532407405</v>
      </c>
    </row>
    <row r="228" spans="1:4" x14ac:dyDescent="0.3">
      <c r="A228" t="s">
        <v>793</v>
      </c>
      <c r="B228" t="s">
        <v>299</v>
      </c>
      <c r="C228" t="s">
        <v>5</v>
      </c>
      <c r="D228" s="2">
        <v>44802.895543981482</v>
      </c>
    </row>
    <row r="229" spans="1:4" x14ac:dyDescent="0.3">
      <c r="A229" t="s">
        <v>793</v>
      </c>
      <c r="B229" t="s">
        <v>300</v>
      </c>
      <c r="C229" t="s">
        <v>5</v>
      </c>
      <c r="D229" s="2">
        <v>44802.895543981482</v>
      </c>
    </row>
    <row r="230" spans="1:4" x14ac:dyDescent="0.3">
      <c r="A230" t="s">
        <v>793</v>
      </c>
      <c r="B230" t="s">
        <v>301</v>
      </c>
      <c r="C230" t="s">
        <v>5</v>
      </c>
      <c r="D230" s="2">
        <v>44802.895543981482</v>
      </c>
    </row>
    <row r="231" spans="1:4" x14ac:dyDescent="0.3">
      <c r="A231" t="s">
        <v>793</v>
      </c>
      <c r="B231" t="s">
        <v>303</v>
      </c>
      <c r="D231" s="2">
        <v>44802.895543981482</v>
      </c>
    </row>
    <row r="232" spans="1:4" x14ac:dyDescent="0.3">
      <c r="A232" t="s">
        <v>793</v>
      </c>
      <c r="B232" t="s">
        <v>304</v>
      </c>
      <c r="D232" s="2">
        <v>44802.895555555559</v>
      </c>
    </row>
    <row r="233" spans="1:4" x14ac:dyDescent="0.3">
      <c r="A233" t="s">
        <v>793</v>
      </c>
      <c r="B233" t="s">
        <v>305</v>
      </c>
      <c r="D233" s="2">
        <v>44802.895555555559</v>
      </c>
    </row>
    <row r="234" spans="1:4" x14ac:dyDescent="0.3">
      <c r="A234" t="s">
        <v>793</v>
      </c>
      <c r="B234" t="s">
        <v>14</v>
      </c>
      <c r="D234" s="2">
        <v>44802.895555555559</v>
      </c>
    </row>
    <row r="235" spans="1:4" x14ac:dyDescent="0.3">
      <c r="A235" t="s">
        <v>793</v>
      </c>
      <c r="B235" t="s">
        <v>306</v>
      </c>
      <c r="D235" s="2">
        <v>44802.895555555559</v>
      </c>
    </row>
    <row r="236" spans="1:4" x14ac:dyDescent="0.3">
      <c r="A236" t="s">
        <v>793</v>
      </c>
      <c r="B236" t="s">
        <v>307</v>
      </c>
      <c r="D236" s="2">
        <v>44802.895555555559</v>
      </c>
    </row>
    <row r="237" spans="1:4" x14ac:dyDescent="0.3">
      <c r="A237" t="s">
        <v>793</v>
      </c>
      <c r="B237" t="s">
        <v>308</v>
      </c>
      <c r="D237" s="2">
        <v>44802.895555555559</v>
      </c>
    </row>
    <row r="238" spans="1:4" x14ac:dyDescent="0.3">
      <c r="A238" t="s">
        <v>793</v>
      </c>
      <c r="B238" t="s">
        <v>309</v>
      </c>
      <c r="D238" s="2">
        <v>44802.895555555559</v>
      </c>
    </row>
    <row r="239" spans="1:4" x14ac:dyDescent="0.3">
      <c r="A239" t="s">
        <v>793</v>
      </c>
      <c r="B239" t="s">
        <v>310</v>
      </c>
      <c r="D239" s="2">
        <v>44802.895567129628</v>
      </c>
    </row>
    <row r="240" spans="1:4" x14ac:dyDescent="0.3">
      <c r="A240" t="s">
        <v>793</v>
      </c>
      <c r="B240" t="s">
        <v>312</v>
      </c>
      <c r="D240" s="2">
        <v>44802.895567129628</v>
      </c>
    </row>
    <row r="241" spans="1:4" x14ac:dyDescent="0.3">
      <c r="A241" t="s">
        <v>793</v>
      </c>
      <c r="B241" t="s">
        <v>314</v>
      </c>
      <c r="D241" s="2">
        <v>44802.895567129628</v>
      </c>
    </row>
    <row r="242" spans="1:4" x14ac:dyDescent="0.3">
      <c r="A242" t="s">
        <v>793</v>
      </c>
      <c r="B242" t="s">
        <v>315</v>
      </c>
      <c r="D242" s="2">
        <v>44802.895567129628</v>
      </c>
    </row>
    <row r="243" spans="1:4" x14ac:dyDescent="0.3">
      <c r="A243" t="s">
        <v>793</v>
      </c>
      <c r="B243" t="s">
        <v>317</v>
      </c>
      <c r="D243" s="2">
        <v>44802.895578703705</v>
      </c>
    </row>
    <row r="244" spans="1:4" x14ac:dyDescent="0.3">
      <c r="A244" t="s">
        <v>793</v>
      </c>
      <c r="B244" t="s">
        <v>318</v>
      </c>
      <c r="D244" s="2">
        <v>44802.895578703705</v>
      </c>
    </row>
    <row r="245" spans="1:4" x14ac:dyDescent="0.3">
      <c r="A245" t="s">
        <v>793</v>
      </c>
      <c r="B245" t="s">
        <v>319</v>
      </c>
      <c r="D245" s="2">
        <v>44802.895578703705</v>
      </c>
    </row>
    <row r="246" spans="1:4" x14ac:dyDescent="0.3">
      <c r="A246" t="s">
        <v>793</v>
      </c>
      <c r="B246" t="s">
        <v>320</v>
      </c>
      <c r="D246" s="2">
        <v>44802.895578703705</v>
      </c>
    </row>
    <row r="247" spans="1:4" x14ac:dyDescent="0.3">
      <c r="A247" t="s">
        <v>793</v>
      </c>
      <c r="B247" t="s">
        <v>321</v>
      </c>
      <c r="D247" s="2">
        <v>44802.895578703705</v>
      </c>
    </row>
    <row r="248" spans="1:4" x14ac:dyDescent="0.3">
      <c r="A248" t="s">
        <v>793</v>
      </c>
      <c r="B248" t="s">
        <v>322</v>
      </c>
      <c r="D248" s="2">
        <v>44802.895578703705</v>
      </c>
    </row>
    <row r="249" spans="1:4" x14ac:dyDescent="0.3">
      <c r="A249" t="s">
        <v>793</v>
      </c>
      <c r="B249" t="s">
        <v>323</v>
      </c>
      <c r="D249" s="2">
        <v>44802.895578703705</v>
      </c>
    </row>
    <row r="250" spans="1:4" x14ac:dyDescent="0.3">
      <c r="A250" t="s">
        <v>793</v>
      </c>
      <c r="B250" t="s">
        <v>324</v>
      </c>
      <c r="D250" s="2">
        <v>44802.895590277774</v>
      </c>
    </row>
    <row r="251" spans="1:4" x14ac:dyDescent="0.3">
      <c r="A251" t="s">
        <v>793</v>
      </c>
      <c r="B251" t="s">
        <v>325</v>
      </c>
      <c r="D251" s="2">
        <v>44802.895590277774</v>
      </c>
    </row>
    <row r="252" spans="1:4" x14ac:dyDescent="0.3">
      <c r="A252" t="s">
        <v>793</v>
      </c>
      <c r="B252" t="s">
        <v>326</v>
      </c>
      <c r="D252" s="2">
        <v>44802.895590277774</v>
      </c>
    </row>
    <row r="253" spans="1:4" x14ac:dyDescent="0.3">
      <c r="A253" t="s">
        <v>793</v>
      </c>
      <c r="B253" t="s">
        <v>327</v>
      </c>
      <c r="D253" s="2">
        <v>44802.895590277774</v>
      </c>
    </row>
    <row r="254" spans="1:4" x14ac:dyDescent="0.3">
      <c r="A254" t="s">
        <v>793</v>
      </c>
      <c r="B254" t="s">
        <v>328</v>
      </c>
      <c r="D254" s="2">
        <v>44802.895590277774</v>
      </c>
    </row>
    <row r="255" spans="1:4" x14ac:dyDescent="0.3">
      <c r="A255" t="s">
        <v>793</v>
      </c>
      <c r="B255" t="s">
        <v>329</v>
      </c>
      <c r="D255" s="2">
        <v>44802.895590277774</v>
      </c>
    </row>
    <row r="256" spans="1:4" x14ac:dyDescent="0.3">
      <c r="A256" t="s">
        <v>793</v>
      </c>
      <c r="B256" t="s">
        <v>330</v>
      </c>
      <c r="D256" s="2">
        <v>44802.895590277774</v>
      </c>
    </row>
    <row r="257" spans="1:4" x14ac:dyDescent="0.3">
      <c r="A257" t="s">
        <v>793</v>
      </c>
      <c r="B257" t="s">
        <v>331</v>
      </c>
      <c r="D257" s="2">
        <v>44802.895601851851</v>
      </c>
    </row>
    <row r="258" spans="1:4" x14ac:dyDescent="0.3">
      <c r="A258" t="s">
        <v>793</v>
      </c>
      <c r="B258" t="s">
        <v>332</v>
      </c>
      <c r="D258" s="2">
        <v>44802.895601851851</v>
      </c>
    </row>
    <row r="259" spans="1:4" x14ac:dyDescent="0.3">
      <c r="A259" t="s">
        <v>793</v>
      </c>
      <c r="B259" t="s">
        <v>333</v>
      </c>
      <c r="D259" s="2">
        <v>44802.895601851851</v>
      </c>
    </row>
    <row r="260" spans="1:4" x14ac:dyDescent="0.3">
      <c r="A260" t="s">
        <v>793</v>
      </c>
      <c r="B260" t="s">
        <v>334</v>
      </c>
      <c r="C260" t="s">
        <v>5</v>
      </c>
      <c r="D260" s="2">
        <v>44802.895601851851</v>
      </c>
    </row>
    <row r="261" spans="1:4" x14ac:dyDescent="0.3">
      <c r="A261" t="s">
        <v>793</v>
      </c>
      <c r="B261" t="s">
        <v>335</v>
      </c>
      <c r="C261" t="s">
        <v>5</v>
      </c>
      <c r="D261" s="2">
        <v>44802.895601851851</v>
      </c>
    </row>
    <row r="262" spans="1:4" x14ac:dyDescent="0.3">
      <c r="A262" t="s">
        <v>793</v>
      </c>
      <c r="B262" t="s">
        <v>336</v>
      </c>
      <c r="C262" t="s">
        <v>5</v>
      </c>
      <c r="D262" s="2">
        <v>44802.895601851851</v>
      </c>
    </row>
    <row r="263" spans="1:4" x14ac:dyDescent="0.3">
      <c r="A263" t="s">
        <v>793</v>
      </c>
      <c r="B263" t="s">
        <v>15</v>
      </c>
      <c r="C263" t="s">
        <v>5</v>
      </c>
      <c r="D263" s="2">
        <v>44802.895613425928</v>
      </c>
    </row>
    <row r="264" spans="1:4" x14ac:dyDescent="0.3">
      <c r="A264" t="s">
        <v>793</v>
      </c>
      <c r="B264" t="s">
        <v>338</v>
      </c>
      <c r="C264" t="s">
        <v>5</v>
      </c>
      <c r="D264" s="2">
        <v>44802.895613425928</v>
      </c>
    </row>
    <row r="265" spans="1:4" x14ac:dyDescent="0.3">
      <c r="A265" t="s">
        <v>793</v>
      </c>
      <c r="B265" t="s">
        <v>339</v>
      </c>
      <c r="C265" t="s">
        <v>5</v>
      </c>
      <c r="D265" s="2">
        <v>44802.895613425928</v>
      </c>
    </row>
    <row r="266" spans="1:4" x14ac:dyDescent="0.3">
      <c r="A266" t="s">
        <v>793</v>
      </c>
      <c r="B266" t="s">
        <v>341</v>
      </c>
      <c r="C266" t="s">
        <v>5</v>
      </c>
      <c r="D266" s="2">
        <v>44802.895613425928</v>
      </c>
    </row>
    <row r="267" spans="1:4" x14ac:dyDescent="0.3">
      <c r="A267" t="s">
        <v>793</v>
      </c>
      <c r="B267" t="s">
        <v>342</v>
      </c>
      <c r="C267" t="s">
        <v>5</v>
      </c>
      <c r="D267" s="2">
        <v>44802.895624999997</v>
      </c>
    </row>
    <row r="268" spans="1:4" x14ac:dyDescent="0.3">
      <c r="A268" t="s">
        <v>793</v>
      </c>
      <c r="B268" t="s">
        <v>349</v>
      </c>
      <c r="C268" t="s">
        <v>5</v>
      </c>
      <c r="D268" s="2">
        <v>44802.895636574074</v>
      </c>
    </row>
    <row r="269" spans="1:4" x14ac:dyDescent="0.3">
      <c r="A269" t="s">
        <v>793</v>
      </c>
      <c r="B269" t="s">
        <v>350</v>
      </c>
      <c r="C269" t="s">
        <v>5</v>
      </c>
      <c r="D269" s="2">
        <v>44802.895636574074</v>
      </c>
    </row>
    <row r="270" spans="1:4" x14ac:dyDescent="0.3">
      <c r="A270" t="s">
        <v>793</v>
      </c>
      <c r="B270" t="s">
        <v>351</v>
      </c>
      <c r="C270" t="s">
        <v>5</v>
      </c>
      <c r="D270" s="2">
        <v>44802.895636574074</v>
      </c>
    </row>
    <row r="271" spans="1:4" x14ac:dyDescent="0.3">
      <c r="A271" t="s">
        <v>793</v>
      </c>
      <c r="B271" t="s">
        <v>353</v>
      </c>
      <c r="C271" t="s">
        <v>5</v>
      </c>
      <c r="D271" s="2">
        <v>44802.895636574074</v>
      </c>
    </row>
    <row r="272" spans="1:4" x14ac:dyDescent="0.3">
      <c r="A272" t="s">
        <v>793</v>
      </c>
      <c r="B272" t="s">
        <v>354</v>
      </c>
      <c r="C272" t="s">
        <v>5</v>
      </c>
      <c r="D272" s="2">
        <v>44802.895648148151</v>
      </c>
    </row>
    <row r="273" spans="1:4" x14ac:dyDescent="0.3">
      <c r="A273" t="s">
        <v>793</v>
      </c>
      <c r="B273" t="s">
        <v>355</v>
      </c>
      <c r="C273" t="s">
        <v>5</v>
      </c>
      <c r="D273" s="2">
        <v>44802.895648148151</v>
      </c>
    </row>
    <row r="274" spans="1:4" x14ac:dyDescent="0.3">
      <c r="A274" t="s">
        <v>793</v>
      </c>
      <c r="B274" t="s">
        <v>357</v>
      </c>
      <c r="C274" t="s">
        <v>5</v>
      </c>
      <c r="D274" s="2">
        <v>44802.895648148151</v>
      </c>
    </row>
    <row r="275" spans="1:4" x14ac:dyDescent="0.3">
      <c r="A275" t="s">
        <v>793</v>
      </c>
      <c r="B275" t="s">
        <v>358</v>
      </c>
      <c r="C275" t="s">
        <v>5</v>
      </c>
      <c r="D275" s="2">
        <v>44802.895648148151</v>
      </c>
    </row>
    <row r="276" spans="1:4" x14ac:dyDescent="0.3">
      <c r="A276" t="s">
        <v>793</v>
      </c>
      <c r="B276" t="s">
        <v>359</v>
      </c>
      <c r="C276" t="s">
        <v>5</v>
      </c>
      <c r="D276" s="2">
        <v>44802.89565972222</v>
      </c>
    </row>
    <row r="277" spans="1:4" x14ac:dyDescent="0.3">
      <c r="A277" t="s">
        <v>793</v>
      </c>
      <c r="B277" t="s">
        <v>361</v>
      </c>
      <c r="C277" t="s">
        <v>5</v>
      </c>
      <c r="D277" s="2">
        <v>44802.89565972222</v>
      </c>
    </row>
    <row r="278" spans="1:4" x14ac:dyDescent="0.3">
      <c r="A278" t="s">
        <v>793</v>
      </c>
      <c r="B278" t="s">
        <v>362</v>
      </c>
      <c r="C278" t="s">
        <v>5</v>
      </c>
      <c r="D278" s="2">
        <v>44802.89565972222</v>
      </c>
    </row>
    <row r="279" spans="1:4" x14ac:dyDescent="0.3">
      <c r="A279" t="s">
        <v>793</v>
      </c>
      <c r="B279" t="s">
        <v>363</v>
      </c>
      <c r="C279" t="s">
        <v>5</v>
      </c>
      <c r="D279" s="2">
        <v>44802.89565972222</v>
      </c>
    </row>
    <row r="280" spans="1:4" x14ac:dyDescent="0.3">
      <c r="A280" t="s">
        <v>793</v>
      </c>
      <c r="B280" t="s">
        <v>365</v>
      </c>
      <c r="D280" s="2">
        <v>44802.895671296297</v>
      </c>
    </row>
    <row r="281" spans="1:4" x14ac:dyDescent="0.3">
      <c r="A281" t="s">
        <v>793</v>
      </c>
      <c r="B281" t="s">
        <v>366</v>
      </c>
      <c r="D281" s="2">
        <v>44802.895671296297</v>
      </c>
    </row>
    <row r="282" spans="1:4" x14ac:dyDescent="0.3">
      <c r="A282" t="s">
        <v>793</v>
      </c>
      <c r="B282" t="s">
        <v>367</v>
      </c>
      <c r="D282" s="2">
        <v>44802.895671296297</v>
      </c>
    </row>
    <row r="283" spans="1:4" x14ac:dyDescent="0.3">
      <c r="A283" t="s">
        <v>793</v>
      </c>
      <c r="B283" t="s">
        <v>368</v>
      </c>
      <c r="D283" s="2">
        <v>44802.895671296297</v>
      </c>
    </row>
    <row r="284" spans="1:4" x14ac:dyDescent="0.3">
      <c r="A284" t="s">
        <v>793</v>
      </c>
      <c r="B284" t="s">
        <v>369</v>
      </c>
      <c r="D284" s="2">
        <v>44802.895671296297</v>
      </c>
    </row>
    <row r="285" spans="1:4" x14ac:dyDescent="0.3">
      <c r="A285" t="s">
        <v>793</v>
      </c>
      <c r="B285" t="s">
        <v>370</v>
      </c>
      <c r="D285" s="2">
        <v>44802.895671296297</v>
      </c>
    </row>
    <row r="286" spans="1:4" x14ac:dyDescent="0.3">
      <c r="A286" t="s">
        <v>793</v>
      </c>
      <c r="B286" t="s">
        <v>371</v>
      </c>
      <c r="D286" s="2">
        <v>44802.895671296297</v>
      </c>
    </row>
    <row r="287" spans="1:4" x14ac:dyDescent="0.3">
      <c r="A287" t="s">
        <v>793</v>
      </c>
      <c r="B287" t="s">
        <v>372</v>
      </c>
      <c r="D287" s="2">
        <v>44802.895682870374</v>
      </c>
    </row>
    <row r="288" spans="1:4" x14ac:dyDescent="0.3">
      <c r="A288" t="s">
        <v>793</v>
      </c>
      <c r="B288" t="s">
        <v>373</v>
      </c>
      <c r="D288" s="2">
        <v>44802.895682870374</v>
      </c>
    </row>
    <row r="289" spans="1:4" x14ac:dyDescent="0.3">
      <c r="A289" t="s">
        <v>793</v>
      </c>
      <c r="B289" t="s">
        <v>374</v>
      </c>
      <c r="D289" s="2">
        <v>44802.895682870374</v>
      </c>
    </row>
    <row r="290" spans="1:4" x14ac:dyDescent="0.3">
      <c r="A290" t="s">
        <v>793</v>
      </c>
      <c r="B290" t="s">
        <v>375</v>
      </c>
      <c r="D290" s="2">
        <v>44802.895682870374</v>
      </c>
    </row>
    <row r="291" spans="1:4" x14ac:dyDescent="0.3">
      <c r="A291" t="s">
        <v>793</v>
      </c>
      <c r="B291" t="s">
        <v>376</v>
      </c>
      <c r="D291" s="2">
        <v>44802.895682870374</v>
      </c>
    </row>
    <row r="292" spans="1:4" x14ac:dyDescent="0.3">
      <c r="A292" t="s">
        <v>793</v>
      </c>
      <c r="B292" t="s">
        <v>377</v>
      </c>
      <c r="D292" s="2">
        <v>44802.895682870374</v>
      </c>
    </row>
    <row r="293" spans="1:4" x14ac:dyDescent="0.3">
      <c r="A293" t="s">
        <v>793</v>
      </c>
      <c r="B293" t="s">
        <v>378</v>
      </c>
      <c r="D293" s="2">
        <v>44802.895682870374</v>
      </c>
    </row>
    <row r="294" spans="1:4" x14ac:dyDescent="0.3">
      <c r="A294" t="s">
        <v>793</v>
      </c>
      <c r="B294" t="s">
        <v>379</v>
      </c>
      <c r="D294" s="2">
        <v>44802.895694444444</v>
      </c>
    </row>
    <row r="295" spans="1:4" x14ac:dyDescent="0.3">
      <c r="A295" t="s">
        <v>793</v>
      </c>
      <c r="B295" t="s">
        <v>380</v>
      </c>
      <c r="D295" s="2">
        <v>44802.895694444444</v>
      </c>
    </row>
    <row r="296" spans="1:4" x14ac:dyDescent="0.3">
      <c r="A296" t="s">
        <v>793</v>
      </c>
      <c r="B296" t="s">
        <v>381</v>
      </c>
      <c r="D296" s="2">
        <v>44802.895694444444</v>
      </c>
    </row>
    <row r="297" spans="1:4" x14ac:dyDescent="0.3">
      <c r="A297" t="s">
        <v>793</v>
      </c>
      <c r="B297" t="s">
        <v>382</v>
      </c>
      <c r="D297" s="2">
        <v>44802.895694444444</v>
      </c>
    </row>
    <row r="298" spans="1:4" x14ac:dyDescent="0.3">
      <c r="A298" t="s">
        <v>793</v>
      </c>
      <c r="B298" t="s">
        <v>383</v>
      </c>
      <c r="D298" s="2">
        <v>44802.895694444444</v>
      </c>
    </row>
    <row r="299" spans="1:4" x14ac:dyDescent="0.3">
      <c r="A299" t="s">
        <v>793</v>
      </c>
      <c r="B299" t="s">
        <v>384</v>
      </c>
      <c r="D299" s="2">
        <v>44802.895694444444</v>
      </c>
    </row>
    <row r="300" spans="1:4" x14ac:dyDescent="0.3">
      <c r="A300" t="s">
        <v>793</v>
      </c>
      <c r="B300" t="s">
        <v>385</v>
      </c>
      <c r="D300" s="2">
        <v>44802.89570601852</v>
      </c>
    </row>
    <row r="301" spans="1:4" x14ac:dyDescent="0.3">
      <c r="A301" t="s">
        <v>793</v>
      </c>
      <c r="B301" t="s">
        <v>386</v>
      </c>
      <c r="D301" s="2">
        <v>44802.89570601852</v>
      </c>
    </row>
    <row r="302" spans="1:4" x14ac:dyDescent="0.3">
      <c r="A302" t="s">
        <v>793</v>
      </c>
      <c r="B302" t="s">
        <v>387</v>
      </c>
      <c r="D302" s="2">
        <v>44802.89570601852</v>
      </c>
    </row>
    <row r="303" spans="1:4" x14ac:dyDescent="0.3">
      <c r="A303" t="s">
        <v>793</v>
      </c>
      <c r="B303" t="s">
        <v>388</v>
      </c>
      <c r="D303" s="2">
        <v>44802.89570601852</v>
      </c>
    </row>
    <row r="304" spans="1:4" x14ac:dyDescent="0.3">
      <c r="A304" t="s">
        <v>793</v>
      </c>
      <c r="B304" t="s">
        <v>389</v>
      </c>
      <c r="D304" s="2">
        <v>44802.89570601852</v>
      </c>
    </row>
    <row r="305" spans="1:4" x14ac:dyDescent="0.3">
      <c r="A305" t="s">
        <v>793</v>
      </c>
      <c r="B305" t="s">
        <v>390</v>
      </c>
      <c r="D305" s="2">
        <v>44802.89570601852</v>
      </c>
    </row>
    <row r="306" spans="1:4" x14ac:dyDescent="0.3">
      <c r="A306" t="s">
        <v>793</v>
      </c>
      <c r="B306" t="s">
        <v>391</v>
      </c>
      <c r="D306" s="2">
        <v>44802.89570601852</v>
      </c>
    </row>
    <row r="307" spans="1:4" x14ac:dyDescent="0.3">
      <c r="A307" t="s">
        <v>793</v>
      </c>
      <c r="B307" t="s">
        <v>392</v>
      </c>
      <c r="D307" s="2">
        <v>44802.89571759259</v>
      </c>
    </row>
    <row r="308" spans="1:4" x14ac:dyDescent="0.3">
      <c r="A308" t="s">
        <v>793</v>
      </c>
      <c r="B308" t="s">
        <v>393</v>
      </c>
      <c r="D308" s="2">
        <v>44802.89571759259</v>
      </c>
    </row>
    <row r="309" spans="1:4" x14ac:dyDescent="0.3">
      <c r="A309" t="s">
        <v>793</v>
      </c>
      <c r="B309" t="s">
        <v>394</v>
      </c>
      <c r="D309" s="2">
        <v>44802.89571759259</v>
      </c>
    </row>
    <row r="310" spans="1:4" x14ac:dyDescent="0.3">
      <c r="A310" t="s">
        <v>793</v>
      </c>
      <c r="B310" t="s">
        <v>395</v>
      </c>
      <c r="D310" s="2">
        <v>44802.89571759259</v>
      </c>
    </row>
    <row r="311" spans="1:4" x14ac:dyDescent="0.3">
      <c r="A311" t="s">
        <v>793</v>
      </c>
      <c r="B311" t="s">
        <v>396</v>
      </c>
      <c r="D311" s="2">
        <v>44802.89571759259</v>
      </c>
    </row>
    <row r="312" spans="1:4" x14ac:dyDescent="0.3">
      <c r="A312" t="s">
        <v>793</v>
      </c>
      <c r="B312" t="s">
        <v>397</v>
      </c>
      <c r="C312" t="s">
        <v>5</v>
      </c>
      <c r="D312" s="2">
        <v>44802.89571759259</v>
      </c>
    </row>
    <row r="313" spans="1:4" x14ac:dyDescent="0.3">
      <c r="A313" t="s">
        <v>793</v>
      </c>
      <c r="B313" t="s">
        <v>398</v>
      </c>
      <c r="C313" t="s">
        <v>5</v>
      </c>
      <c r="D313" s="2">
        <v>44802.89571759259</v>
      </c>
    </row>
    <row r="314" spans="1:4" x14ac:dyDescent="0.3">
      <c r="A314" t="s">
        <v>793</v>
      </c>
      <c r="B314" t="s">
        <v>399</v>
      </c>
      <c r="C314" t="s">
        <v>5</v>
      </c>
      <c r="D314" s="2">
        <v>44802.895729166667</v>
      </c>
    </row>
    <row r="315" spans="1:4" x14ac:dyDescent="0.3">
      <c r="A315" t="s">
        <v>793</v>
      </c>
      <c r="B315" t="s">
        <v>401</v>
      </c>
      <c r="C315" t="s">
        <v>5</v>
      </c>
      <c r="D315" s="2">
        <v>44802.895729166667</v>
      </c>
    </row>
    <row r="316" spans="1:4" x14ac:dyDescent="0.3">
      <c r="A316" t="s">
        <v>793</v>
      </c>
      <c r="B316" t="s">
        <v>402</v>
      </c>
      <c r="C316" t="s">
        <v>5</v>
      </c>
      <c r="D316" s="2">
        <v>44802.895729166667</v>
      </c>
    </row>
    <row r="317" spans="1:4" x14ac:dyDescent="0.3">
      <c r="A317" t="s">
        <v>793</v>
      </c>
      <c r="B317" t="s">
        <v>403</v>
      </c>
      <c r="C317" t="s">
        <v>5</v>
      </c>
      <c r="D317" s="2">
        <v>44802.895729166667</v>
      </c>
    </row>
    <row r="318" spans="1:4" x14ac:dyDescent="0.3">
      <c r="A318" t="s">
        <v>793</v>
      </c>
      <c r="B318" t="s">
        <v>405</v>
      </c>
      <c r="C318" t="s">
        <v>5</v>
      </c>
      <c r="D318" s="2">
        <v>44802.895740740743</v>
      </c>
    </row>
    <row r="319" spans="1:4" x14ac:dyDescent="0.3">
      <c r="A319" t="s">
        <v>793</v>
      </c>
      <c r="B319" t="s">
        <v>406</v>
      </c>
      <c r="C319" t="s">
        <v>5</v>
      </c>
      <c r="D319" s="2">
        <v>44802.895740740743</v>
      </c>
    </row>
    <row r="320" spans="1:4" x14ac:dyDescent="0.3">
      <c r="A320" t="s">
        <v>793</v>
      </c>
      <c r="B320" t="s">
        <v>409</v>
      </c>
      <c r="D320" s="2">
        <v>44802.895740740743</v>
      </c>
    </row>
    <row r="321" spans="1:4" x14ac:dyDescent="0.3">
      <c r="A321" t="s">
        <v>793</v>
      </c>
      <c r="B321" t="s">
        <v>410</v>
      </c>
      <c r="D321" s="2">
        <v>44802.895740740743</v>
      </c>
    </row>
    <row r="322" spans="1:4" x14ac:dyDescent="0.3">
      <c r="A322" t="s">
        <v>793</v>
      </c>
      <c r="B322" t="s">
        <v>411</v>
      </c>
      <c r="D322" s="2">
        <v>44802.895752314813</v>
      </c>
    </row>
    <row r="323" spans="1:4" x14ac:dyDescent="0.3">
      <c r="A323" t="s">
        <v>793</v>
      </c>
      <c r="B323" t="s">
        <v>412</v>
      </c>
      <c r="D323" s="2">
        <v>44802.895752314813</v>
      </c>
    </row>
    <row r="324" spans="1:4" x14ac:dyDescent="0.3">
      <c r="A324" t="s">
        <v>793</v>
      </c>
      <c r="B324" t="s">
        <v>413</v>
      </c>
      <c r="D324" s="2">
        <v>44802.895752314813</v>
      </c>
    </row>
    <row r="325" spans="1:4" x14ac:dyDescent="0.3">
      <c r="A325" t="s">
        <v>793</v>
      </c>
      <c r="B325" t="s">
        <v>414</v>
      </c>
      <c r="D325" s="2">
        <v>44802.895752314813</v>
      </c>
    </row>
    <row r="326" spans="1:4" x14ac:dyDescent="0.3">
      <c r="A326" t="s">
        <v>793</v>
      </c>
      <c r="B326" t="s">
        <v>415</v>
      </c>
      <c r="D326" s="2">
        <v>44802.895752314813</v>
      </c>
    </row>
    <row r="327" spans="1:4" x14ac:dyDescent="0.3">
      <c r="A327" t="s">
        <v>793</v>
      </c>
      <c r="B327" t="s">
        <v>416</v>
      </c>
      <c r="D327" s="2">
        <v>44802.895752314813</v>
      </c>
    </row>
    <row r="328" spans="1:4" x14ac:dyDescent="0.3">
      <c r="A328" t="s">
        <v>793</v>
      </c>
      <c r="B328" t="s">
        <v>417</v>
      </c>
      <c r="D328" s="2">
        <v>44802.895752314813</v>
      </c>
    </row>
    <row r="329" spans="1:4" x14ac:dyDescent="0.3">
      <c r="A329" t="s">
        <v>793</v>
      </c>
      <c r="B329" t="s">
        <v>418</v>
      </c>
      <c r="D329" s="2">
        <v>44802.89576388889</v>
      </c>
    </row>
    <row r="330" spans="1:4" x14ac:dyDescent="0.3">
      <c r="A330" t="s">
        <v>793</v>
      </c>
      <c r="B330" t="s">
        <v>419</v>
      </c>
      <c r="D330" s="2">
        <v>44802.89576388889</v>
      </c>
    </row>
    <row r="331" spans="1:4" x14ac:dyDescent="0.3">
      <c r="A331" t="s">
        <v>793</v>
      </c>
      <c r="B331" t="s">
        <v>420</v>
      </c>
      <c r="D331" s="2">
        <v>44802.89576388889</v>
      </c>
    </row>
    <row r="332" spans="1:4" x14ac:dyDescent="0.3">
      <c r="A332" t="s">
        <v>793</v>
      </c>
      <c r="B332" t="s">
        <v>421</v>
      </c>
      <c r="C332" t="s">
        <v>4</v>
      </c>
      <c r="D332" s="2">
        <v>44802.89576388889</v>
      </c>
    </row>
    <row r="333" spans="1:4" x14ac:dyDescent="0.3">
      <c r="A333" t="s">
        <v>793</v>
      </c>
      <c r="B333" t="s">
        <v>422</v>
      </c>
      <c r="D333" s="2">
        <v>44802.89576388889</v>
      </c>
    </row>
    <row r="334" spans="1:4" x14ac:dyDescent="0.3">
      <c r="A334" t="s">
        <v>793</v>
      </c>
      <c r="B334" t="s">
        <v>423</v>
      </c>
      <c r="D334" s="2">
        <v>44802.89576388889</v>
      </c>
    </row>
    <row r="335" spans="1:4" x14ac:dyDescent="0.3">
      <c r="A335" t="s">
        <v>793</v>
      </c>
      <c r="B335" t="s">
        <v>424</v>
      </c>
      <c r="D335" s="2">
        <v>44802.895775462966</v>
      </c>
    </row>
    <row r="336" spans="1:4" x14ac:dyDescent="0.3">
      <c r="A336" t="s">
        <v>793</v>
      </c>
      <c r="B336" t="s">
        <v>425</v>
      </c>
      <c r="D336" s="2">
        <v>44802.895775462966</v>
      </c>
    </row>
    <row r="337" spans="1:4" x14ac:dyDescent="0.3">
      <c r="A337" t="s">
        <v>793</v>
      </c>
      <c r="B337" t="s">
        <v>426</v>
      </c>
      <c r="D337" s="2">
        <v>44802.895775462966</v>
      </c>
    </row>
    <row r="338" spans="1:4" x14ac:dyDescent="0.3">
      <c r="A338" t="s">
        <v>793</v>
      </c>
      <c r="B338" t="s">
        <v>427</v>
      </c>
      <c r="D338" s="2">
        <v>44802.895775462966</v>
      </c>
    </row>
    <row r="339" spans="1:4" x14ac:dyDescent="0.3">
      <c r="A339" t="s">
        <v>793</v>
      </c>
      <c r="B339" t="s">
        <v>428</v>
      </c>
      <c r="C339">
        <v>4902734</v>
      </c>
      <c r="D339" s="2">
        <v>44802.895775462966</v>
      </c>
    </row>
    <row r="340" spans="1:4" x14ac:dyDescent="0.3">
      <c r="A340" t="s">
        <v>793</v>
      </c>
      <c r="B340" t="s">
        <v>430</v>
      </c>
      <c r="C340">
        <v>4903298</v>
      </c>
      <c r="D340" s="2">
        <v>44802.895787037036</v>
      </c>
    </row>
    <row r="341" spans="1:4" x14ac:dyDescent="0.3">
      <c r="A341" t="s">
        <v>793</v>
      </c>
      <c r="B341" t="s">
        <v>431</v>
      </c>
      <c r="C341">
        <v>4903090</v>
      </c>
      <c r="D341" s="2">
        <v>44802.895787037036</v>
      </c>
    </row>
    <row r="342" spans="1:4" x14ac:dyDescent="0.3">
      <c r="A342" t="s">
        <v>793</v>
      </c>
      <c r="B342" t="s">
        <v>433</v>
      </c>
      <c r="D342" s="2">
        <v>44802.895787037036</v>
      </c>
    </row>
    <row r="343" spans="1:4" x14ac:dyDescent="0.3">
      <c r="A343" t="s">
        <v>793</v>
      </c>
      <c r="B343" t="s">
        <v>434</v>
      </c>
      <c r="D343" s="2">
        <v>44802.895787037036</v>
      </c>
    </row>
    <row r="344" spans="1:4" x14ac:dyDescent="0.3">
      <c r="A344" t="s">
        <v>793</v>
      </c>
      <c r="B344" t="s">
        <v>435</v>
      </c>
      <c r="D344" s="2">
        <v>44802.895787037036</v>
      </c>
    </row>
    <row r="345" spans="1:4" x14ac:dyDescent="0.3">
      <c r="A345" t="s">
        <v>793</v>
      </c>
      <c r="B345" t="s">
        <v>436</v>
      </c>
      <c r="D345" s="2">
        <v>44802.895798611113</v>
      </c>
    </row>
    <row r="346" spans="1:4" x14ac:dyDescent="0.3">
      <c r="A346" t="s">
        <v>793</v>
      </c>
      <c r="B346" t="s">
        <v>437</v>
      </c>
      <c r="D346" s="2">
        <v>44802.895798611113</v>
      </c>
    </row>
    <row r="347" spans="1:4" x14ac:dyDescent="0.3">
      <c r="A347" t="s">
        <v>793</v>
      </c>
      <c r="B347" t="s">
        <v>438</v>
      </c>
      <c r="D347" s="2">
        <v>44802.895798611113</v>
      </c>
    </row>
    <row r="348" spans="1:4" x14ac:dyDescent="0.3">
      <c r="A348" t="s">
        <v>793</v>
      </c>
      <c r="B348" t="s">
        <v>439</v>
      </c>
      <c r="D348" s="2">
        <v>44802.895798611113</v>
      </c>
    </row>
    <row r="349" spans="1:4" x14ac:dyDescent="0.3">
      <c r="A349" t="s">
        <v>793</v>
      </c>
      <c r="B349" t="s">
        <v>440</v>
      </c>
      <c r="C349">
        <v>4902734</v>
      </c>
      <c r="D349" s="2">
        <v>44802.895798611113</v>
      </c>
    </row>
    <row r="350" spans="1:4" x14ac:dyDescent="0.3">
      <c r="A350" t="s">
        <v>793</v>
      </c>
      <c r="B350" t="s">
        <v>442</v>
      </c>
      <c r="C350">
        <v>4903298</v>
      </c>
      <c r="D350" s="2">
        <v>44802.895810185182</v>
      </c>
    </row>
    <row r="351" spans="1:4" x14ac:dyDescent="0.3">
      <c r="A351" t="s">
        <v>793</v>
      </c>
      <c r="B351" t="s">
        <v>443</v>
      </c>
      <c r="C351">
        <v>4903090</v>
      </c>
      <c r="D351" s="2">
        <v>44802.895810185182</v>
      </c>
    </row>
    <row r="352" spans="1:4" x14ac:dyDescent="0.3">
      <c r="A352" t="s">
        <v>793</v>
      </c>
      <c r="B352" t="s">
        <v>445</v>
      </c>
      <c r="C352" t="s">
        <v>5</v>
      </c>
      <c r="D352" s="2">
        <v>44802.895810185182</v>
      </c>
    </row>
    <row r="353" spans="1:4" x14ac:dyDescent="0.3">
      <c r="A353" t="s">
        <v>793</v>
      </c>
      <c r="B353" t="s">
        <v>446</v>
      </c>
      <c r="C353" t="s">
        <v>5</v>
      </c>
      <c r="D353" s="2">
        <v>44802.895810185182</v>
      </c>
    </row>
    <row r="354" spans="1:4" x14ac:dyDescent="0.3">
      <c r="A354" t="s">
        <v>793</v>
      </c>
      <c r="B354" t="s">
        <v>447</v>
      </c>
      <c r="C354" t="s">
        <v>5</v>
      </c>
      <c r="D354" s="2">
        <v>44802.895821759259</v>
      </c>
    </row>
    <row r="355" spans="1:4" x14ac:dyDescent="0.3">
      <c r="A355" t="s">
        <v>793</v>
      </c>
      <c r="B355" t="s">
        <v>449</v>
      </c>
      <c r="C355" t="s">
        <v>5</v>
      </c>
      <c r="D355" s="2">
        <v>44802.895821759259</v>
      </c>
    </row>
    <row r="356" spans="1:4" x14ac:dyDescent="0.3">
      <c r="A356" t="s">
        <v>793</v>
      </c>
      <c r="B356" t="s">
        <v>450</v>
      </c>
      <c r="C356" t="s">
        <v>5</v>
      </c>
      <c r="D356" s="2">
        <v>44802.895821759259</v>
      </c>
    </row>
    <row r="357" spans="1:4" x14ac:dyDescent="0.3">
      <c r="A357" t="s">
        <v>793</v>
      </c>
      <c r="B357" t="s">
        <v>451</v>
      </c>
      <c r="C357" t="s">
        <v>5</v>
      </c>
      <c r="D357" s="2">
        <v>44802.895821759259</v>
      </c>
    </row>
    <row r="358" spans="1:4" x14ac:dyDescent="0.3">
      <c r="A358" t="s">
        <v>793</v>
      </c>
      <c r="B358" t="s">
        <v>453</v>
      </c>
      <c r="C358" t="s">
        <v>5</v>
      </c>
      <c r="D358" s="2">
        <v>44802.895833333336</v>
      </c>
    </row>
    <row r="359" spans="1:4" x14ac:dyDescent="0.3">
      <c r="A359" t="s">
        <v>793</v>
      </c>
      <c r="B359" t="s">
        <v>454</v>
      </c>
      <c r="C359" t="s">
        <v>5</v>
      </c>
      <c r="D359" s="2">
        <v>44802.895833333336</v>
      </c>
    </row>
    <row r="360" spans="1:4" x14ac:dyDescent="0.3">
      <c r="A360" t="s">
        <v>793</v>
      </c>
      <c r="B360" t="s">
        <v>455</v>
      </c>
      <c r="C360" t="s">
        <v>5</v>
      </c>
      <c r="D360" s="2">
        <v>44802.895833333336</v>
      </c>
    </row>
    <row r="361" spans="1:4" x14ac:dyDescent="0.3">
      <c r="A361" t="s">
        <v>793</v>
      </c>
      <c r="B361" t="s">
        <v>457</v>
      </c>
      <c r="C361" t="s">
        <v>5</v>
      </c>
      <c r="D361" s="2">
        <v>44802.895844907405</v>
      </c>
    </row>
    <row r="362" spans="1:4" x14ac:dyDescent="0.3">
      <c r="A362" t="s">
        <v>793</v>
      </c>
      <c r="B362" t="s">
        <v>458</v>
      </c>
      <c r="C362" t="s">
        <v>5</v>
      </c>
      <c r="D362" s="2">
        <v>44802.895844907405</v>
      </c>
    </row>
    <row r="363" spans="1:4" x14ac:dyDescent="0.3">
      <c r="A363" t="s">
        <v>793</v>
      </c>
      <c r="B363" t="s">
        <v>459</v>
      </c>
      <c r="C363" t="s">
        <v>5</v>
      </c>
      <c r="D363" s="2">
        <v>44802.895844907405</v>
      </c>
    </row>
    <row r="364" spans="1:4" x14ac:dyDescent="0.3">
      <c r="A364" t="s">
        <v>793</v>
      </c>
      <c r="B364" t="s">
        <v>461</v>
      </c>
      <c r="D364" s="2">
        <v>44802.895844907405</v>
      </c>
    </row>
    <row r="365" spans="1:4" x14ac:dyDescent="0.3">
      <c r="A365" t="s">
        <v>793</v>
      </c>
      <c r="B365" t="s">
        <v>462</v>
      </c>
      <c r="D365" s="2">
        <v>44802.895844907405</v>
      </c>
    </row>
    <row r="366" spans="1:4" x14ac:dyDescent="0.3">
      <c r="A366" t="s">
        <v>793</v>
      </c>
      <c r="B366" t="s">
        <v>463</v>
      </c>
      <c r="D366" s="2">
        <v>44802.895844907405</v>
      </c>
    </row>
    <row r="367" spans="1:4" x14ac:dyDescent="0.3">
      <c r="A367" t="s">
        <v>793</v>
      </c>
      <c r="B367" t="s">
        <v>464</v>
      </c>
      <c r="D367" s="2">
        <v>44802.895856481482</v>
      </c>
    </row>
    <row r="368" spans="1:4" x14ac:dyDescent="0.3">
      <c r="A368" t="s">
        <v>793</v>
      </c>
      <c r="B368" t="s">
        <v>465</v>
      </c>
      <c r="D368" s="2">
        <v>44802.895856481482</v>
      </c>
    </row>
    <row r="369" spans="1:4" x14ac:dyDescent="0.3">
      <c r="A369" t="s">
        <v>793</v>
      </c>
      <c r="B369" t="s">
        <v>466</v>
      </c>
      <c r="D369" s="2">
        <v>44802.895856481482</v>
      </c>
    </row>
    <row r="370" spans="1:4" x14ac:dyDescent="0.3">
      <c r="A370" t="s">
        <v>793</v>
      </c>
      <c r="B370" t="s">
        <v>467</v>
      </c>
      <c r="D370" s="2">
        <v>44802.895856481482</v>
      </c>
    </row>
    <row r="371" spans="1:4" x14ac:dyDescent="0.3">
      <c r="A371" t="s">
        <v>793</v>
      </c>
      <c r="B371" t="s">
        <v>468</v>
      </c>
      <c r="D371" s="2">
        <v>44802.895856481482</v>
      </c>
    </row>
    <row r="372" spans="1:4" x14ac:dyDescent="0.3">
      <c r="A372" t="s">
        <v>793</v>
      </c>
      <c r="B372" t="s">
        <v>469</v>
      </c>
      <c r="D372" s="2">
        <v>44802.895856481482</v>
      </c>
    </row>
    <row r="373" spans="1:4" x14ac:dyDescent="0.3">
      <c r="A373" t="s">
        <v>793</v>
      </c>
      <c r="B373" t="s">
        <v>470</v>
      </c>
      <c r="D373" s="2">
        <v>44802.895868055559</v>
      </c>
    </row>
    <row r="374" spans="1:4" x14ac:dyDescent="0.3">
      <c r="A374" t="s">
        <v>793</v>
      </c>
      <c r="B374" t="s">
        <v>471</v>
      </c>
      <c r="D374" s="2">
        <v>44802.895868055559</v>
      </c>
    </row>
    <row r="375" spans="1:4" x14ac:dyDescent="0.3">
      <c r="A375" t="s">
        <v>793</v>
      </c>
      <c r="B375" t="s">
        <v>472</v>
      </c>
      <c r="D375" s="2">
        <v>44802.895868055559</v>
      </c>
    </row>
    <row r="376" spans="1:4" x14ac:dyDescent="0.3">
      <c r="A376" t="s">
        <v>793</v>
      </c>
      <c r="B376" t="s">
        <v>473</v>
      </c>
      <c r="D376" s="2">
        <v>44802.895868055559</v>
      </c>
    </row>
    <row r="377" spans="1:4" x14ac:dyDescent="0.3">
      <c r="A377" t="s">
        <v>793</v>
      </c>
      <c r="B377" t="s">
        <v>474</v>
      </c>
      <c r="D377" s="2">
        <v>44802.895868055559</v>
      </c>
    </row>
    <row r="378" spans="1:4" x14ac:dyDescent="0.3">
      <c r="A378" t="s">
        <v>793</v>
      </c>
      <c r="B378" t="s">
        <v>475</v>
      </c>
      <c r="D378" s="2">
        <v>44802.895868055559</v>
      </c>
    </row>
    <row r="379" spans="1:4" x14ac:dyDescent="0.3">
      <c r="A379" t="s">
        <v>793</v>
      </c>
      <c r="B379" t="s">
        <v>476</v>
      </c>
      <c r="D379" s="2">
        <v>44802.895868055559</v>
      </c>
    </row>
    <row r="380" spans="1:4" x14ac:dyDescent="0.3">
      <c r="A380" t="s">
        <v>793</v>
      </c>
      <c r="B380" t="s">
        <v>477</v>
      </c>
      <c r="C380">
        <v>4902872</v>
      </c>
      <c r="D380" s="2">
        <v>44802.895879629628</v>
      </c>
    </row>
    <row r="381" spans="1:4" x14ac:dyDescent="0.3">
      <c r="A381" t="s">
        <v>793</v>
      </c>
      <c r="B381" t="s">
        <v>478</v>
      </c>
      <c r="C381">
        <v>4908258</v>
      </c>
      <c r="D381" s="2">
        <v>44802.895879629628</v>
      </c>
    </row>
    <row r="382" spans="1:4" x14ac:dyDescent="0.3">
      <c r="A382" t="s">
        <v>793</v>
      </c>
      <c r="B382" t="s">
        <v>493</v>
      </c>
      <c r="D382" s="2">
        <v>44802.895914351851</v>
      </c>
    </row>
    <row r="383" spans="1:4" x14ac:dyDescent="0.3">
      <c r="A383" t="s">
        <v>793</v>
      </c>
      <c r="B383" t="s">
        <v>494</v>
      </c>
      <c r="C383">
        <v>4908258</v>
      </c>
      <c r="D383" s="2">
        <v>44802.895914351851</v>
      </c>
    </row>
    <row r="384" spans="1:4" x14ac:dyDescent="0.3">
      <c r="A384" t="s">
        <v>793</v>
      </c>
      <c r="B384" t="s">
        <v>508</v>
      </c>
      <c r="D384" s="2">
        <v>44802.895949074074</v>
      </c>
    </row>
    <row r="385" spans="1:4" x14ac:dyDescent="0.3">
      <c r="A385" t="s">
        <v>793</v>
      </c>
      <c r="B385" t="s">
        <v>509</v>
      </c>
      <c r="C385" t="s">
        <v>750</v>
      </c>
      <c r="D385" s="2">
        <v>44802.895949074074</v>
      </c>
    </row>
    <row r="386" spans="1:4" x14ac:dyDescent="0.3">
      <c r="A386" t="s">
        <v>793</v>
      </c>
      <c r="B386" t="s">
        <v>510</v>
      </c>
      <c r="C386" t="s">
        <v>750</v>
      </c>
      <c r="D386" s="2">
        <v>44802.895949074074</v>
      </c>
    </row>
    <row r="387" spans="1:4" x14ac:dyDescent="0.3">
      <c r="A387" t="s">
        <v>793</v>
      </c>
      <c r="B387" t="s">
        <v>511</v>
      </c>
      <c r="C387" t="s">
        <v>750</v>
      </c>
      <c r="D387" s="2">
        <v>44802.895949074074</v>
      </c>
    </row>
    <row r="388" spans="1:4" x14ac:dyDescent="0.3">
      <c r="A388" t="s">
        <v>793</v>
      </c>
      <c r="B388" t="s">
        <v>513</v>
      </c>
      <c r="C388" t="s">
        <v>750</v>
      </c>
      <c r="D388" s="2">
        <v>44802.895960648151</v>
      </c>
    </row>
    <row r="389" spans="1:4" x14ac:dyDescent="0.3">
      <c r="A389" t="s">
        <v>793</v>
      </c>
      <c r="B389" t="s">
        <v>514</v>
      </c>
      <c r="C389" t="s">
        <v>750</v>
      </c>
      <c r="D389" s="2">
        <v>44802.895960648151</v>
      </c>
    </row>
    <row r="390" spans="1:4" x14ac:dyDescent="0.3">
      <c r="A390" t="s">
        <v>793</v>
      </c>
      <c r="B390" t="s">
        <v>515</v>
      </c>
      <c r="C390" t="s">
        <v>750</v>
      </c>
      <c r="D390" s="2">
        <v>44802.895960648151</v>
      </c>
    </row>
    <row r="391" spans="1:4" x14ac:dyDescent="0.3">
      <c r="A391" t="s">
        <v>793</v>
      </c>
      <c r="B391" t="s">
        <v>517</v>
      </c>
      <c r="C391" t="s">
        <v>750</v>
      </c>
      <c r="D391" s="2">
        <v>44802.895960648151</v>
      </c>
    </row>
    <row r="392" spans="1:4" x14ac:dyDescent="0.3">
      <c r="A392" t="s">
        <v>793</v>
      </c>
      <c r="B392" t="s">
        <v>518</v>
      </c>
      <c r="C392" t="s">
        <v>750</v>
      </c>
      <c r="D392" s="2">
        <v>44802.895960648151</v>
      </c>
    </row>
    <row r="393" spans="1:4" x14ac:dyDescent="0.3">
      <c r="A393" t="s">
        <v>793</v>
      </c>
      <c r="B393" t="s">
        <v>519</v>
      </c>
      <c r="C393" t="s">
        <v>750</v>
      </c>
      <c r="D393" s="2">
        <v>44802.895972222221</v>
      </c>
    </row>
    <row r="394" spans="1:4" x14ac:dyDescent="0.3">
      <c r="A394" t="s">
        <v>793</v>
      </c>
      <c r="B394" t="s">
        <v>521</v>
      </c>
      <c r="D394" s="2">
        <v>44802.895972222221</v>
      </c>
    </row>
    <row r="395" spans="1:4" x14ac:dyDescent="0.3">
      <c r="A395" t="s">
        <v>793</v>
      </c>
      <c r="B395" t="s">
        <v>522</v>
      </c>
      <c r="D395" s="2">
        <v>44802.895972222221</v>
      </c>
    </row>
    <row r="396" spans="1:4" x14ac:dyDescent="0.3">
      <c r="A396" t="s">
        <v>793</v>
      </c>
      <c r="B396" t="s">
        <v>523</v>
      </c>
      <c r="D396" s="2">
        <v>44802.895972222221</v>
      </c>
    </row>
    <row r="397" spans="1:4" x14ac:dyDescent="0.3">
      <c r="A397" t="s">
        <v>793</v>
      </c>
      <c r="B397" t="s">
        <v>524</v>
      </c>
      <c r="D397" s="2">
        <v>44802.895972222221</v>
      </c>
    </row>
    <row r="398" spans="1:4" x14ac:dyDescent="0.3">
      <c r="A398" t="s">
        <v>793</v>
      </c>
      <c r="B398" t="s">
        <v>525</v>
      </c>
      <c r="D398" s="2">
        <v>44802.895983796298</v>
      </c>
    </row>
    <row r="399" spans="1:4" x14ac:dyDescent="0.3">
      <c r="A399" t="s">
        <v>793</v>
      </c>
      <c r="B399" t="s">
        <v>526</v>
      </c>
      <c r="D399" s="2">
        <v>44802.895983796298</v>
      </c>
    </row>
    <row r="400" spans="1:4" x14ac:dyDescent="0.3">
      <c r="A400" t="s">
        <v>793</v>
      </c>
      <c r="B400" t="s">
        <v>527</v>
      </c>
      <c r="D400" s="2">
        <v>44802.895983796298</v>
      </c>
    </row>
    <row r="401" spans="1:4" x14ac:dyDescent="0.3">
      <c r="A401" t="s">
        <v>793</v>
      </c>
      <c r="B401" t="s">
        <v>528</v>
      </c>
      <c r="D401" s="2">
        <v>44802.895983796298</v>
      </c>
    </row>
    <row r="402" spans="1:4" x14ac:dyDescent="0.3">
      <c r="A402" t="s">
        <v>793</v>
      </c>
      <c r="B402" t="s">
        <v>529</v>
      </c>
      <c r="D402" s="2">
        <v>44802.895983796298</v>
      </c>
    </row>
    <row r="403" spans="1:4" x14ac:dyDescent="0.3">
      <c r="A403" t="s">
        <v>793</v>
      </c>
      <c r="B403" t="s">
        <v>530</v>
      </c>
      <c r="D403" s="2">
        <v>44802.895983796298</v>
      </c>
    </row>
    <row r="404" spans="1:4" x14ac:dyDescent="0.3">
      <c r="A404" t="s">
        <v>793</v>
      </c>
      <c r="B404" t="s">
        <v>531</v>
      </c>
      <c r="D404" s="2">
        <v>44802.895983796298</v>
      </c>
    </row>
    <row r="405" spans="1:4" x14ac:dyDescent="0.3">
      <c r="A405" t="s">
        <v>793</v>
      </c>
      <c r="B405" t="s">
        <v>532</v>
      </c>
      <c r="D405" s="2">
        <v>44802.895995370367</v>
      </c>
    </row>
    <row r="406" spans="1:4" x14ac:dyDescent="0.3">
      <c r="A406" t="s">
        <v>793</v>
      </c>
      <c r="B406" t="s">
        <v>533</v>
      </c>
      <c r="C406" t="s">
        <v>750</v>
      </c>
      <c r="D406" s="2">
        <v>44802.895995370367</v>
      </c>
    </row>
    <row r="407" spans="1:4" x14ac:dyDescent="0.3">
      <c r="A407" t="s">
        <v>793</v>
      </c>
      <c r="B407" t="s">
        <v>534</v>
      </c>
      <c r="C407" t="s">
        <v>750</v>
      </c>
      <c r="D407" s="2">
        <v>44802.895995370367</v>
      </c>
    </row>
    <row r="408" spans="1:4" x14ac:dyDescent="0.3">
      <c r="A408" t="s">
        <v>793</v>
      </c>
      <c r="B408" t="s">
        <v>535</v>
      </c>
      <c r="C408" t="s">
        <v>750</v>
      </c>
      <c r="D408" s="2">
        <v>44802.895995370367</v>
      </c>
    </row>
    <row r="409" spans="1:4" x14ac:dyDescent="0.3">
      <c r="A409" t="s">
        <v>793</v>
      </c>
      <c r="B409" t="s">
        <v>537</v>
      </c>
      <c r="C409" t="s">
        <v>750</v>
      </c>
      <c r="D409" s="2">
        <v>44802.896006944444</v>
      </c>
    </row>
    <row r="410" spans="1:4" x14ac:dyDescent="0.3">
      <c r="A410" t="s">
        <v>793</v>
      </c>
      <c r="B410" t="s">
        <v>538</v>
      </c>
      <c r="C410" t="s">
        <v>750</v>
      </c>
      <c r="D410" s="2">
        <v>44802.896006944444</v>
      </c>
    </row>
    <row r="411" spans="1:4" x14ac:dyDescent="0.3">
      <c r="A411" t="s">
        <v>793</v>
      </c>
      <c r="B411" t="s">
        <v>539</v>
      </c>
      <c r="C411" t="s">
        <v>750</v>
      </c>
      <c r="D411" s="2">
        <v>44802.896006944444</v>
      </c>
    </row>
    <row r="412" spans="1:4" x14ac:dyDescent="0.3">
      <c r="A412" t="s">
        <v>793</v>
      </c>
      <c r="B412" t="s">
        <v>541</v>
      </c>
      <c r="C412" t="s">
        <v>750</v>
      </c>
      <c r="D412" s="2">
        <v>44802.896006944444</v>
      </c>
    </row>
    <row r="413" spans="1:4" x14ac:dyDescent="0.3">
      <c r="A413" t="s">
        <v>793</v>
      </c>
      <c r="B413" t="s">
        <v>542</v>
      </c>
      <c r="C413" t="s">
        <v>750</v>
      </c>
      <c r="D413" s="2">
        <v>44802.896006944444</v>
      </c>
    </row>
    <row r="414" spans="1:4" x14ac:dyDescent="0.3">
      <c r="A414" t="s">
        <v>793</v>
      </c>
      <c r="B414" t="s">
        <v>543</v>
      </c>
      <c r="C414" t="s">
        <v>750</v>
      </c>
      <c r="D414" s="2">
        <v>44802.896018518521</v>
      </c>
    </row>
    <row r="415" spans="1:4" x14ac:dyDescent="0.3">
      <c r="A415" t="s">
        <v>793</v>
      </c>
      <c r="B415" t="s">
        <v>545</v>
      </c>
      <c r="D415" s="2">
        <v>44802.896018518521</v>
      </c>
    </row>
    <row r="416" spans="1:4" x14ac:dyDescent="0.3">
      <c r="A416" t="s">
        <v>793</v>
      </c>
      <c r="B416" t="s">
        <v>546</v>
      </c>
      <c r="D416" s="2">
        <v>44802.896018518521</v>
      </c>
    </row>
    <row r="417" spans="1:4" x14ac:dyDescent="0.3">
      <c r="A417" t="s">
        <v>793</v>
      </c>
      <c r="B417" t="s">
        <v>547</v>
      </c>
      <c r="D417" s="2">
        <v>44802.896018518521</v>
      </c>
    </row>
    <row r="418" spans="1:4" x14ac:dyDescent="0.3">
      <c r="A418" t="s">
        <v>793</v>
      </c>
      <c r="B418" t="s">
        <v>548</v>
      </c>
      <c r="D418" s="2">
        <v>44802.896018518521</v>
      </c>
    </row>
    <row r="419" spans="1:4" x14ac:dyDescent="0.3">
      <c r="A419" t="s">
        <v>793</v>
      </c>
      <c r="B419" t="s">
        <v>549</v>
      </c>
      <c r="D419" s="2">
        <v>44802.89603009259</v>
      </c>
    </row>
    <row r="420" spans="1:4" x14ac:dyDescent="0.3">
      <c r="A420" t="s">
        <v>793</v>
      </c>
      <c r="B420" t="s">
        <v>550</v>
      </c>
      <c r="D420" s="2">
        <v>44802.89603009259</v>
      </c>
    </row>
    <row r="421" spans="1:4" x14ac:dyDescent="0.3">
      <c r="A421" t="s">
        <v>793</v>
      </c>
      <c r="B421" t="s">
        <v>551</v>
      </c>
      <c r="D421" s="2">
        <v>44802.89603009259</v>
      </c>
    </row>
    <row r="422" spans="1:4" x14ac:dyDescent="0.3">
      <c r="A422" t="s">
        <v>793</v>
      </c>
      <c r="B422" t="s">
        <v>552</v>
      </c>
      <c r="D422" s="2">
        <v>44802.89603009259</v>
      </c>
    </row>
    <row r="423" spans="1:4" x14ac:dyDescent="0.3">
      <c r="A423" t="s">
        <v>793</v>
      </c>
      <c r="B423" t="s">
        <v>553</v>
      </c>
      <c r="D423" s="2">
        <v>44802.89603009259</v>
      </c>
    </row>
    <row r="424" spans="1:4" x14ac:dyDescent="0.3">
      <c r="A424" t="s">
        <v>793</v>
      </c>
      <c r="B424" t="s">
        <v>554</v>
      </c>
      <c r="D424" s="2">
        <v>44802.89603009259</v>
      </c>
    </row>
    <row r="425" spans="1:4" x14ac:dyDescent="0.3">
      <c r="A425" t="s">
        <v>793</v>
      </c>
      <c r="B425" t="s">
        <v>555</v>
      </c>
      <c r="D425" s="2">
        <v>44802.896041666667</v>
      </c>
    </row>
    <row r="426" spans="1:4" x14ac:dyDescent="0.3">
      <c r="A426" t="s">
        <v>793</v>
      </c>
      <c r="B426" t="s">
        <v>556</v>
      </c>
      <c r="D426" s="2">
        <v>44802.896041666667</v>
      </c>
    </row>
    <row r="427" spans="1:4" x14ac:dyDescent="0.3">
      <c r="A427" t="s">
        <v>793</v>
      </c>
      <c r="B427" t="s">
        <v>557</v>
      </c>
      <c r="C427" t="s">
        <v>750</v>
      </c>
      <c r="D427" s="2">
        <v>44802.896041666667</v>
      </c>
    </row>
    <row r="428" spans="1:4" x14ac:dyDescent="0.3">
      <c r="A428" t="s">
        <v>793</v>
      </c>
      <c r="B428" t="s">
        <v>558</v>
      </c>
      <c r="C428" t="s">
        <v>750</v>
      </c>
      <c r="D428" s="2">
        <v>44802.896041666667</v>
      </c>
    </row>
    <row r="429" spans="1:4" x14ac:dyDescent="0.3">
      <c r="A429" t="s">
        <v>793</v>
      </c>
      <c r="B429" t="s">
        <v>559</v>
      </c>
      <c r="C429" t="s">
        <v>750</v>
      </c>
      <c r="D429" s="2">
        <v>44802.896041666667</v>
      </c>
    </row>
    <row r="430" spans="1:4" x14ac:dyDescent="0.3">
      <c r="A430" t="s">
        <v>793</v>
      </c>
      <c r="B430" t="s">
        <v>561</v>
      </c>
      <c r="C430" t="s">
        <v>750</v>
      </c>
      <c r="D430" s="2">
        <v>44802.896053240744</v>
      </c>
    </row>
    <row r="431" spans="1:4" x14ac:dyDescent="0.3">
      <c r="A431" t="s">
        <v>793</v>
      </c>
      <c r="B431" t="s">
        <v>562</v>
      </c>
      <c r="C431" t="s">
        <v>750</v>
      </c>
      <c r="D431" s="2">
        <v>44802.896053240744</v>
      </c>
    </row>
    <row r="432" spans="1:4" x14ac:dyDescent="0.3">
      <c r="A432" t="s">
        <v>793</v>
      </c>
      <c r="B432" t="s">
        <v>563</v>
      </c>
      <c r="C432" t="s">
        <v>750</v>
      </c>
      <c r="D432" s="2">
        <v>44802.896053240744</v>
      </c>
    </row>
    <row r="433" spans="1:4" x14ac:dyDescent="0.3">
      <c r="A433" t="s">
        <v>793</v>
      </c>
      <c r="B433" t="s">
        <v>565</v>
      </c>
      <c r="C433" t="s">
        <v>750</v>
      </c>
      <c r="D433" s="2">
        <v>44802.896053240744</v>
      </c>
    </row>
    <row r="434" spans="1:4" x14ac:dyDescent="0.3">
      <c r="A434" t="s">
        <v>793</v>
      </c>
      <c r="B434" t="s">
        <v>566</v>
      </c>
      <c r="C434" t="s">
        <v>750</v>
      </c>
      <c r="D434" s="2">
        <v>44802.896053240744</v>
      </c>
    </row>
    <row r="435" spans="1:4" x14ac:dyDescent="0.3">
      <c r="A435" t="s">
        <v>793</v>
      </c>
      <c r="B435" t="s">
        <v>567</v>
      </c>
      <c r="C435" t="s">
        <v>750</v>
      </c>
      <c r="D435" s="2">
        <v>44802.896053240744</v>
      </c>
    </row>
    <row r="436" spans="1:4" x14ac:dyDescent="0.3">
      <c r="A436" t="s">
        <v>793</v>
      </c>
      <c r="B436" t="s">
        <v>569</v>
      </c>
      <c r="D436" s="2">
        <v>44802.896064814813</v>
      </c>
    </row>
    <row r="437" spans="1:4" x14ac:dyDescent="0.3">
      <c r="A437" t="s">
        <v>793</v>
      </c>
      <c r="B437" t="s">
        <v>570</v>
      </c>
      <c r="D437" s="2">
        <v>44802.896064814813</v>
      </c>
    </row>
    <row r="438" spans="1:4" x14ac:dyDescent="0.3">
      <c r="A438" t="s">
        <v>793</v>
      </c>
      <c r="B438" t="s">
        <v>571</v>
      </c>
      <c r="D438" s="2">
        <v>44802.896064814813</v>
      </c>
    </row>
    <row r="439" spans="1:4" x14ac:dyDescent="0.3">
      <c r="A439" t="s">
        <v>793</v>
      </c>
      <c r="B439" t="s">
        <v>572</v>
      </c>
      <c r="D439" s="2">
        <v>44802.896064814813</v>
      </c>
    </row>
    <row r="440" spans="1:4" x14ac:dyDescent="0.3">
      <c r="A440" t="s">
        <v>793</v>
      </c>
      <c r="B440" t="s">
        <v>573</v>
      </c>
      <c r="D440" s="2">
        <v>44802.896064814813</v>
      </c>
    </row>
    <row r="441" spans="1:4" x14ac:dyDescent="0.3">
      <c r="A441" t="s">
        <v>793</v>
      </c>
      <c r="B441" t="s">
        <v>574</v>
      </c>
      <c r="D441" s="2">
        <v>44802.896064814813</v>
      </c>
    </row>
    <row r="442" spans="1:4" x14ac:dyDescent="0.3">
      <c r="A442" t="s">
        <v>793</v>
      </c>
      <c r="B442" t="s">
        <v>575</v>
      </c>
      <c r="D442" s="2">
        <v>44802.89607638889</v>
      </c>
    </row>
    <row r="443" spans="1:4" x14ac:dyDescent="0.3">
      <c r="A443" t="s">
        <v>793</v>
      </c>
      <c r="B443" t="s">
        <v>576</v>
      </c>
      <c r="D443" s="2">
        <v>44802.89607638889</v>
      </c>
    </row>
    <row r="444" spans="1:4" x14ac:dyDescent="0.3">
      <c r="A444" t="s">
        <v>793</v>
      </c>
      <c r="B444" t="s">
        <v>577</v>
      </c>
      <c r="D444" s="2">
        <v>44802.89607638889</v>
      </c>
    </row>
    <row r="445" spans="1:4" x14ac:dyDescent="0.3">
      <c r="A445" t="s">
        <v>793</v>
      </c>
      <c r="B445" t="s">
        <v>578</v>
      </c>
      <c r="D445" s="2">
        <v>44802.89607638889</v>
      </c>
    </row>
    <row r="446" spans="1:4" x14ac:dyDescent="0.3">
      <c r="A446" t="s">
        <v>793</v>
      </c>
      <c r="B446" t="s">
        <v>579</v>
      </c>
      <c r="D446" s="2">
        <v>44802.89607638889</v>
      </c>
    </row>
    <row r="447" spans="1:4" x14ac:dyDescent="0.3">
      <c r="A447" t="s">
        <v>793</v>
      </c>
      <c r="B447" t="s">
        <v>580</v>
      </c>
      <c r="D447" s="2">
        <v>44802.89607638889</v>
      </c>
    </row>
    <row r="448" spans="1:4" x14ac:dyDescent="0.3">
      <c r="A448" t="s">
        <v>793</v>
      </c>
      <c r="B448" t="s">
        <v>581</v>
      </c>
      <c r="C448">
        <v>4905868</v>
      </c>
      <c r="D448" s="2">
        <v>44802.89607638889</v>
      </c>
    </row>
    <row r="449" spans="1:4" x14ac:dyDescent="0.3">
      <c r="A449" t="s">
        <v>793</v>
      </c>
      <c r="B449" t="s">
        <v>582</v>
      </c>
      <c r="D449" s="2">
        <v>44802.89607638889</v>
      </c>
    </row>
    <row r="450" spans="1:4" x14ac:dyDescent="0.3">
      <c r="A450" t="s">
        <v>793</v>
      </c>
      <c r="B450" t="s">
        <v>586</v>
      </c>
      <c r="D450" s="2">
        <v>44802.896087962959</v>
      </c>
    </row>
    <row r="451" spans="1:4" x14ac:dyDescent="0.3">
      <c r="A451" t="s">
        <v>793</v>
      </c>
      <c r="B451" t="s">
        <v>590</v>
      </c>
      <c r="D451" s="2">
        <v>44802.896099537036</v>
      </c>
    </row>
    <row r="452" spans="1:4" x14ac:dyDescent="0.3">
      <c r="A452" t="s">
        <v>793</v>
      </c>
      <c r="B452" t="s">
        <v>591</v>
      </c>
      <c r="D452" s="2">
        <v>44802.896099537036</v>
      </c>
    </row>
    <row r="453" spans="1:4" x14ac:dyDescent="0.3">
      <c r="A453" t="s">
        <v>793</v>
      </c>
      <c r="B453" t="s">
        <v>592</v>
      </c>
      <c r="D453" s="2">
        <v>44802.896099537036</v>
      </c>
    </row>
    <row r="454" spans="1:4" x14ac:dyDescent="0.3">
      <c r="A454" t="s">
        <v>793</v>
      </c>
      <c r="B454" t="s">
        <v>593</v>
      </c>
      <c r="C454">
        <v>4905872</v>
      </c>
      <c r="D454" s="2">
        <v>44802.896099537036</v>
      </c>
    </row>
    <row r="455" spans="1:4" x14ac:dyDescent="0.3">
      <c r="A455" t="s">
        <v>793</v>
      </c>
      <c r="B455" t="s">
        <v>594</v>
      </c>
      <c r="C455" t="s">
        <v>758</v>
      </c>
      <c r="D455" s="2">
        <v>44802.896099537036</v>
      </c>
    </row>
    <row r="456" spans="1:4" x14ac:dyDescent="0.3">
      <c r="A456" t="s">
        <v>793</v>
      </c>
      <c r="B456" t="s">
        <v>598</v>
      </c>
      <c r="C456">
        <v>4904928</v>
      </c>
      <c r="D456" s="2">
        <v>44802.896111111113</v>
      </c>
    </row>
    <row r="457" spans="1:4" x14ac:dyDescent="0.3">
      <c r="A457" t="s">
        <v>793</v>
      </c>
      <c r="B457" t="s">
        <v>602</v>
      </c>
      <c r="C457">
        <v>4907251</v>
      </c>
      <c r="D457" s="2">
        <v>44802.896111111113</v>
      </c>
    </row>
    <row r="458" spans="1:4" x14ac:dyDescent="0.3">
      <c r="A458" t="s">
        <v>793</v>
      </c>
      <c r="B458" t="s">
        <v>603</v>
      </c>
      <c r="C458">
        <v>4907063</v>
      </c>
      <c r="D458" s="2">
        <v>44802.896111111113</v>
      </c>
    </row>
    <row r="459" spans="1:4" x14ac:dyDescent="0.3">
      <c r="A459" t="s">
        <v>793</v>
      </c>
      <c r="B459" t="s">
        <v>604</v>
      </c>
      <c r="C459">
        <v>4905140</v>
      </c>
      <c r="D459" s="2">
        <v>44802.896122685182</v>
      </c>
    </row>
    <row r="460" spans="1:4" x14ac:dyDescent="0.3">
      <c r="A460" t="s">
        <v>793</v>
      </c>
      <c r="B460" t="s">
        <v>605</v>
      </c>
      <c r="C460" t="s">
        <v>750</v>
      </c>
      <c r="D460" s="2">
        <v>44802.896122685182</v>
      </c>
    </row>
    <row r="461" spans="1:4" x14ac:dyDescent="0.3">
      <c r="A461" t="s">
        <v>793</v>
      </c>
      <c r="B461" t="s">
        <v>606</v>
      </c>
      <c r="C461" t="s">
        <v>750</v>
      </c>
      <c r="D461" s="2">
        <v>44802.896122685182</v>
      </c>
    </row>
    <row r="462" spans="1:4" x14ac:dyDescent="0.3">
      <c r="A462" t="s">
        <v>793</v>
      </c>
      <c r="B462" t="s">
        <v>607</v>
      </c>
      <c r="C462" t="s">
        <v>750</v>
      </c>
      <c r="D462" s="2">
        <v>44802.896122685182</v>
      </c>
    </row>
    <row r="463" spans="1:4" x14ac:dyDescent="0.3">
      <c r="A463" t="s">
        <v>793</v>
      </c>
      <c r="B463" t="s">
        <v>609</v>
      </c>
      <c r="D463" s="2">
        <v>44802.896122685182</v>
      </c>
    </row>
    <row r="464" spans="1:4" x14ac:dyDescent="0.3">
      <c r="A464" t="s">
        <v>793</v>
      </c>
      <c r="B464" t="s">
        <v>610</v>
      </c>
      <c r="D464" s="2">
        <v>44802.896122685182</v>
      </c>
    </row>
    <row r="465" spans="1:4" x14ac:dyDescent="0.3">
      <c r="A465" t="s">
        <v>793</v>
      </c>
      <c r="B465" t="s">
        <v>611</v>
      </c>
      <c r="D465" s="2">
        <v>44802.896134259259</v>
      </c>
    </row>
    <row r="466" spans="1:4" x14ac:dyDescent="0.3">
      <c r="A466" t="s">
        <v>793</v>
      </c>
      <c r="B466" t="s">
        <v>612</v>
      </c>
      <c r="D466" s="2">
        <v>44802.896134259259</v>
      </c>
    </row>
    <row r="467" spans="1:4" x14ac:dyDescent="0.3">
      <c r="A467" t="s">
        <v>793</v>
      </c>
      <c r="B467" t="s">
        <v>613</v>
      </c>
      <c r="C467" t="s">
        <v>750</v>
      </c>
      <c r="D467" s="2">
        <v>44802.896134259259</v>
      </c>
    </row>
    <row r="468" spans="1:4" x14ac:dyDescent="0.3">
      <c r="A468" t="s">
        <v>793</v>
      </c>
      <c r="B468" t="s">
        <v>614</v>
      </c>
      <c r="C468" t="s">
        <v>750</v>
      </c>
      <c r="D468" s="2">
        <v>44802.896134259259</v>
      </c>
    </row>
    <row r="469" spans="1:4" x14ac:dyDescent="0.3">
      <c r="A469" t="s">
        <v>793</v>
      </c>
      <c r="B469" t="s">
        <v>615</v>
      </c>
      <c r="C469" t="s">
        <v>750</v>
      </c>
      <c r="D469" s="2">
        <v>44802.896134259259</v>
      </c>
    </row>
    <row r="470" spans="1:4" x14ac:dyDescent="0.3">
      <c r="A470" t="s">
        <v>793</v>
      </c>
      <c r="B470" t="s">
        <v>617</v>
      </c>
      <c r="D470" s="2">
        <v>44802.896134259259</v>
      </c>
    </row>
    <row r="471" spans="1:4" x14ac:dyDescent="0.3">
      <c r="A471" t="s">
        <v>793</v>
      </c>
      <c r="B471" t="s">
        <v>618</v>
      </c>
      <c r="D471" s="2">
        <v>44802.896145833336</v>
      </c>
    </row>
    <row r="472" spans="1:4" x14ac:dyDescent="0.3">
      <c r="A472" t="s">
        <v>793</v>
      </c>
      <c r="B472" t="s">
        <v>619</v>
      </c>
      <c r="D472" s="2">
        <v>44802.896145833336</v>
      </c>
    </row>
    <row r="473" spans="1:4" x14ac:dyDescent="0.3">
      <c r="A473" t="s">
        <v>793</v>
      </c>
      <c r="B473" t="s">
        <v>620</v>
      </c>
      <c r="D473" s="2">
        <v>44802.896145833336</v>
      </c>
    </row>
    <row r="474" spans="1:4" x14ac:dyDescent="0.3">
      <c r="A474" t="s">
        <v>793</v>
      </c>
      <c r="B474" t="s">
        <v>621</v>
      </c>
      <c r="C474" t="s">
        <v>751</v>
      </c>
      <c r="D474" s="2">
        <v>44802.896145833336</v>
      </c>
    </row>
    <row r="475" spans="1:4" x14ac:dyDescent="0.3">
      <c r="A475" t="s">
        <v>793</v>
      </c>
      <c r="B475" t="s">
        <v>622</v>
      </c>
      <c r="C475" t="s">
        <v>751</v>
      </c>
      <c r="D475" s="2">
        <v>44802.896145833336</v>
      </c>
    </row>
    <row r="476" spans="1:4" x14ac:dyDescent="0.3">
      <c r="A476" t="s">
        <v>793</v>
      </c>
      <c r="B476" t="s">
        <v>623</v>
      </c>
      <c r="C476" t="s">
        <v>751</v>
      </c>
      <c r="D476" s="2">
        <v>44802.896145833336</v>
      </c>
    </row>
    <row r="477" spans="1:4" x14ac:dyDescent="0.3">
      <c r="A477" t="s">
        <v>793</v>
      </c>
      <c r="B477" t="s">
        <v>624</v>
      </c>
      <c r="C477" t="s">
        <v>751</v>
      </c>
      <c r="D477" s="2">
        <v>44802.896157407406</v>
      </c>
    </row>
    <row r="478" spans="1:4" x14ac:dyDescent="0.3">
      <c r="A478" t="s">
        <v>793</v>
      </c>
      <c r="B478" t="s">
        <v>625</v>
      </c>
      <c r="C478" t="s">
        <v>751</v>
      </c>
      <c r="D478" s="2">
        <v>44802.896157407406</v>
      </c>
    </row>
    <row r="479" spans="1:4" x14ac:dyDescent="0.3">
      <c r="A479" t="s">
        <v>793</v>
      </c>
      <c r="B479" t="s">
        <v>626</v>
      </c>
      <c r="C479" t="s">
        <v>751</v>
      </c>
      <c r="D479" s="2">
        <v>44802.896157407406</v>
      </c>
    </row>
    <row r="480" spans="1:4" x14ac:dyDescent="0.3">
      <c r="A480" t="s">
        <v>793</v>
      </c>
      <c r="B480" t="s">
        <v>628</v>
      </c>
      <c r="C480" t="s">
        <v>751</v>
      </c>
      <c r="D480" s="2">
        <v>44802.896157407406</v>
      </c>
    </row>
    <row r="481" spans="1:4" x14ac:dyDescent="0.3">
      <c r="A481" t="s">
        <v>793</v>
      </c>
      <c r="B481" t="s">
        <v>629</v>
      </c>
      <c r="C481" t="s">
        <v>751</v>
      </c>
      <c r="D481" s="2">
        <v>44802.896157407406</v>
      </c>
    </row>
    <row r="482" spans="1:4" x14ac:dyDescent="0.3">
      <c r="A482" t="s">
        <v>793</v>
      </c>
      <c r="B482" t="s">
        <v>630</v>
      </c>
      <c r="C482" t="s">
        <v>751</v>
      </c>
      <c r="D482" s="2">
        <v>44802.896157407406</v>
      </c>
    </row>
    <row r="483" spans="1:4" x14ac:dyDescent="0.3">
      <c r="A483" t="s">
        <v>793</v>
      </c>
      <c r="B483" t="s">
        <v>631</v>
      </c>
      <c r="C483" t="s">
        <v>751</v>
      </c>
      <c r="D483" s="2">
        <v>44802.896168981482</v>
      </c>
    </row>
    <row r="484" spans="1:4" x14ac:dyDescent="0.3">
      <c r="A484" t="s">
        <v>793</v>
      </c>
      <c r="B484" t="s">
        <v>632</v>
      </c>
      <c r="C484" t="s">
        <v>751</v>
      </c>
      <c r="D484" s="2">
        <v>44802.896168981482</v>
      </c>
    </row>
    <row r="485" spans="1:4" x14ac:dyDescent="0.3">
      <c r="A485" t="s">
        <v>793</v>
      </c>
      <c r="B485" t="s">
        <v>633</v>
      </c>
      <c r="C485" t="s">
        <v>751</v>
      </c>
      <c r="D485" s="2">
        <v>44802.896168981482</v>
      </c>
    </row>
    <row r="486" spans="1:4" x14ac:dyDescent="0.3">
      <c r="A486" t="s">
        <v>793</v>
      </c>
      <c r="B486" t="s">
        <v>634</v>
      </c>
      <c r="C486" t="s">
        <v>751</v>
      </c>
      <c r="D486" s="2">
        <v>44802.896168981482</v>
      </c>
    </row>
    <row r="487" spans="1:4" x14ac:dyDescent="0.3">
      <c r="A487" t="s">
        <v>793</v>
      </c>
      <c r="B487" t="s">
        <v>635</v>
      </c>
      <c r="D487" s="2">
        <v>44802.896168981482</v>
      </c>
    </row>
    <row r="488" spans="1:4" x14ac:dyDescent="0.3">
      <c r="A488" t="s">
        <v>793</v>
      </c>
      <c r="B488" t="s">
        <v>636</v>
      </c>
      <c r="D488" s="2">
        <v>44802.896168981482</v>
      </c>
    </row>
    <row r="489" spans="1:4" x14ac:dyDescent="0.3">
      <c r="A489" t="s">
        <v>793</v>
      </c>
      <c r="B489" t="s">
        <v>637</v>
      </c>
      <c r="D489" s="2">
        <v>44802.896180555559</v>
      </c>
    </row>
    <row r="490" spans="1:4" x14ac:dyDescent="0.3">
      <c r="A490" t="s">
        <v>793</v>
      </c>
      <c r="B490" t="s">
        <v>638</v>
      </c>
      <c r="D490" s="2">
        <v>44802.896180555559</v>
      </c>
    </row>
    <row r="491" spans="1:4" x14ac:dyDescent="0.3">
      <c r="A491" t="s">
        <v>793</v>
      </c>
      <c r="B491" t="s">
        <v>639</v>
      </c>
      <c r="D491" s="2">
        <v>44802.896180555559</v>
      </c>
    </row>
    <row r="492" spans="1:4" x14ac:dyDescent="0.3">
      <c r="A492" t="s">
        <v>793</v>
      </c>
      <c r="B492" t="s">
        <v>640</v>
      </c>
      <c r="D492" s="2">
        <v>44802.896180555559</v>
      </c>
    </row>
    <row r="493" spans="1:4" x14ac:dyDescent="0.3">
      <c r="A493" t="s">
        <v>793</v>
      </c>
      <c r="B493" t="s">
        <v>641</v>
      </c>
      <c r="D493" s="2">
        <v>44802.896180555559</v>
      </c>
    </row>
    <row r="494" spans="1:4" x14ac:dyDescent="0.3">
      <c r="A494" t="s">
        <v>793</v>
      </c>
      <c r="B494" t="s">
        <v>642</v>
      </c>
      <c r="D494" s="2">
        <v>44802.896180555559</v>
      </c>
    </row>
    <row r="495" spans="1:4" x14ac:dyDescent="0.3">
      <c r="A495" t="s">
        <v>793</v>
      </c>
      <c r="B495" t="s">
        <v>643</v>
      </c>
      <c r="D495" s="2">
        <v>44802.896180555559</v>
      </c>
    </row>
    <row r="496" spans="1:4" x14ac:dyDescent="0.3">
      <c r="A496" t="s">
        <v>793</v>
      </c>
      <c r="B496" t="s">
        <v>644</v>
      </c>
      <c r="D496" s="2">
        <v>44802.896180555559</v>
      </c>
    </row>
    <row r="497" spans="1:4" x14ac:dyDescent="0.3">
      <c r="A497" t="s">
        <v>793</v>
      </c>
      <c r="B497" t="s">
        <v>645</v>
      </c>
      <c r="D497" s="2">
        <v>44802.896192129629</v>
      </c>
    </row>
    <row r="498" spans="1:4" x14ac:dyDescent="0.3">
      <c r="A498" t="s">
        <v>793</v>
      </c>
      <c r="B498" t="s">
        <v>646</v>
      </c>
      <c r="D498" s="2">
        <v>44802.896192129629</v>
      </c>
    </row>
    <row r="499" spans="1:4" x14ac:dyDescent="0.3">
      <c r="A499" t="s">
        <v>793</v>
      </c>
      <c r="B499" t="s">
        <v>647</v>
      </c>
      <c r="D499" s="2">
        <v>44802.896192129629</v>
      </c>
    </row>
    <row r="500" spans="1:4" x14ac:dyDescent="0.3">
      <c r="A500" t="s">
        <v>793</v>
      </c>
      <c r="B500" t="s">
        <v>648</v>
      </c>
      <c r="D500" s="2">
        <v>44802.896192129629</v>
      </c>
    </row>
    <row r="501" spans="1:4" x14ac:dyDescent="0.3">
      <c r="A501" t="s">
        <v>793</v>
      </c>
      <c r="B501" t="s">
        <v>649</v>
      </c>
      <c r="D501" s="2">
        <v>44802.896192129629</v>
      </c>
    </row>
    <row r="502" spans="1:4" x14ac:dyDescent="0.3">
      <c r="A502" t="s">
        <v>793</v>
      </c>
      <c r="B502" t="s">
        <v>650</v>
      </c>
      <c r="D502" s="2">
        <v>44802.896192129629</v>
      </c>
    </row>
    <row r="503" spans="1:4" x14ac:dyDescent="0.3">
      <c r="A503" t="s">
        <v>793</v>
      </c>
      <c r="B503" t="s">
        <v>652</v>
      </c>
      <c r="D503" s="2">
        <v>44802.896203703705</v>
      </c>
    </row>
    <row r="504" spans="1:4" x14ac:dyDescent="0.3">
      <c r="A504" t="s">
        <v>793</v>
      </c>
      <c r="B504" t="s">
        <v>653</v>
      </c>
      <c r="C504" t="s">
        <v>751</v>
      </c>
      <c r="D504" s="2">
        <v>44802.896203703705</v>
      </c>
    </row>
    <row r="505" spans="1:4" x14ac:dyDescent="0.3">
      <c r="A505" t="s">
        <v>793</v>
      </c>
      <c r="B505" t="s">
        <v>654</v>
      </c>
      <c r="C505" t="s">
        <v>751</v>
      </c>
      <c r="D505" s="2">
        <v>44802.896203703705</v>
      </c>
    </row>
    <row r="506" spans="1:4" x14ac:dyDescent="0.3">
      <c r="A506" t="s">
        <v>793</v>
      </c>
      <c r="B506" t="s">
        <v>655</v>
      </c>
      <c r="C506" t="s">
        <v>751</v>
      </c>
      <c r="D506" s="2">
        <v>44802.896203703705</v>
      </c>
    </row>
    <row r="507" spans="1:4" x14ac:dyDescent="0.3">
      <c r="A507" t="s">
        <v>793</v>
      </c>
      <c r="B507" t="s">
        <v>656</v>
      </c>
      <c r="C507" t="s">
        <v>751</v>
      </c>
      <c r="D507" s="2">
        <v>44802.896203703705</v>
      </c>
    </row>
    <row r="508" spans="1:4" x14ac:dyDescent="0.3">
      <c r="A508" t="s">
        <v>793</v>
      </c>
      <c r="B508" t="s">
        <v>657</v>
      </c>
      <c r="C508" t="s">
        <v>751</v>
      </c>
      <c r="D508" s="2">
        <v>44802.896203703705</v>
      </c>
    </row>
    <row r="509" spans="1:4" x14ac:dyDescent="0.3">
      <c r="A509" t="s">
        <v>793</v>
      </c>
      <c r="B509" t="s">
        <v>658</v>
      </c>
      <c r="C509" t="s">
        <v>751</v>
      </c>
      <c r="D509" s="2">
        <v>44802.896203703705</v>
      </c>
    </row>
    <row r="510" spans="1:4" x14ac:dyDescent="0.3">
      <c r="A510" t="s">
        <v>793</v>
      </c>
      <c r="B510" t="s">
        <v>659</v>
      </c>
      <c r="C510" t="s">
        <v>751</v>
      </c>
      <c r="D510" s="2">
        <v>44802.896215277775</v>
      </c>
    </row>
    <row r="511" spans="1:4" x14ac:dyDescent="0.3">
      <c r="A511" t="s">
        <v>793</v>
      </c>
      <c r="B511" t="s">
        <v>660</v>
      </c>
      <c r="C511" t="s">
        <v>751</v>
      </c>
      <c r="D511" s="2">
        <v>44802.896215277775</v>
      </c>
    </row>
    <row r="512" spans="1:4" x14ac:dyDescent="0.3">
      <c r="A512" t="s">
        <v>793</v>
      </c>
      <c r="B512" t="s">
        <v>661</v>
      </c>
      <c r="C512" t="s">
        <v>751</v>
      </c>
      <c r="D512" s="2">
        <v>44802.896215277775</v>
      </c>
    </row>
    <row r="513" spans="1:4" x14ac:dyDescent="0.3">
      <c r="A513" t="s">
        <v>793</v>
      </c>
      <c r="B513" t="s">
        <v>662</v>
      </c>
      <c r="C513" t="s">
        <v>751</v>
      </c>
      <c r="D513" s="2">
        <v>44802.896215277775</v>
      </c>
    </row>
    <row r="514" spans="1:4" x14ac:dyDescent="0.3">
      <c r="A514" t="s">
        <v>793</v>
      </c>
      <c r="B514" t="s">
        <v>663</v>
      </c>
      <c r="C514" t="s">
        <v>751</v>
      </c>
      <c r="D514" s="2">
        <v>44802.896215277775</v>
      </c>
    </row>
    <row r="515" spans="1:4" x14ac:dyDescent="0.3">
      <c r="A515" t="s">
        <v>793</v>
      </c>
      <c r="B515" t="s">
        <v>664</v>
      </c>
      <c r="C515" t="s">
        <v>751</v>
      </c>
      <c r="D515" s="2">
        <v>44802.896215277775</v>
      </c>
    </row>
    <row r="516" spans="1:4" x14ac:dyDescent="0.3">
      <c r="A516" t="s">
        <v>793</v>
      </c>
      <c r="B516" t="s">
        <v>665</v>
      </c>
      <c r="C516" t="s">
        <v>751</v>
      </c>
      <c r="D516" s="2">
        <v>44802.896226851852</v>
      </c>
    </row>
    <row r="517" spans="1:4" x14ac:dyDescent="0.3">
      <c r="A517" t="s">
        <v>793</v>
      </c>
      <c r="B517" t="s">
        <v>666</v>
      </c>
      <c r="C517" t="s">
        <v>751</v>
      </c>
      <c r="D517" s="2">
        <v>44802.896226851852</v>
      </c>
    </row>
    <row r="518" spans="1:4" x14ac:dyDescent="0.3">
      <c r="A518" t="s">
        <v>793</v>
      </c>
      <c r="B518" t="s">
        <v>667</v>
      </c>
      <c r="C518" t="s">
        <v>751</v>
      </c>
      <c r="D518" s="2">
        <v>44802.896226851852</v>
      </c>
    </row>
    <row r="519" spans="1:4" x14ac:dyDescent="0.3">
      <c r="A519" t="s">
        <v>793</v>
      </c>
      <c r="B519" t="s">
        <v>668</v>
      </c>
      <c r="C519" t="s">
        <v>751</v>
      </c>
      <c r="D519" s="2">
        <v>44802.896226851852</v>
      </c>
    </row>
    <row r="520" spans="1:4" x14ac:dyDescent="0.3">
      <c r="A520" t="s">
        <v>793</v>
      </c>
      <c r="B520" t="s">
        <v>669</v>
      </c>
      <c r="D520" s="2">
        <v>44802.896226851852</v>
      </c>
    </row>
    <row r="521" spans="1:4" x14ac:dyDescent="0.3">
      <c r="A521" t="s">
        <v>793</v>
      </c>
      <c r="B521" t="s">
        <v>670</v>
      </c>
      <c r="D521" s="2">
        <v>44802.896226851852</v>
      </c>
    </row>
    <row r="522" spans="1:4" x14ac:dyDescent="0.3">
      <c r="A522" t="s">
        <v>793</v>
      </c>
      <c r="B522" t="s">
        <v>671</v>
      </c>
      <c r="D522" s="2">
        <v>44802.896226851852</v>
      </c>
    </row>
    <row r="523" spans="1:4" x14ac:dyDescent="0.3">
      <c r="A523" t="s">
        <v>793</v>
      </c>
      <c r="B523" t="s">
        <v>672</v>
      </c>
      <c r="D523" s="2">
        <v>44802.896238425928</v>
      </c>
    </row>
    <row r="524" spans="1:4" x14ac:dyDescent="0.3">
      <c r="A524" t="s">
        <v>793</v>
      </c>
      <c r="B524" t="s">
        <v>673</v>
      </c>
      <c r="D524" s="2">
        <v>44802.896238425928</v>
      </c>
    </row>
    <row r="525" spans="1:4" x14ac:dyDescent="0.3">
      <c r="A525" t="s">
        <v>793</v>
      </c>
      <c r="B525" t="s">
        <v>674</v>
      </c>
      <c r="D525" s="2">
        <v>44802.896238425928</v>
      </c>
    </row>
    <row r="526" spans="1:4" x14ac:dyDescent="0.3">
      <c r="A526" t="s">
        <v>793</v>
      </c>
      <c r="B526" t="s">
        <v>675</v>
      </c>
      <c r="D526" s="2">
        <v>44802.896238425928</v>
      </c>
    </row>
    <row r="527" spans="1:4" x14ac:dyDescent="0.3">
      <c r="A527" t="s">
        <v>793</v>
      </c>
      <c r="B527" t="s">
        <v>676</v>
      </c>
      <c r="D527" s="2">
        <v>44802.896238425928</v>
      </c>
    </row>
    <row r="528" spans="1:4" x14ac:dyDescent="0.3">
      <c r="A528" t="s">
        <v>793</v>
      </c>
      <c r="B528" t="s">
        <v>677</v>
      </c>
      <c r="D528" s="2">
        <v>44802.896238425928</v>
      </c>
    </row>
    <row r="529" spans="1:4" x14ac:dyDescent="0.3">
      <c r="A529" t="s">
        <v>793</v>
      </c>
      <c r="B529" t="s">
        <v>678</v>
      </c>
      <c r="D529" s="2">
        <v>44802.896238425928</v>
      </c>
    </row>
    <row r="530" spans="1:4" x14ac:dyDescent="0.3">
      <c r="A530" t="s">
        <v>793</v>
      </c>
      <c r="B530" t="s">
        <v>679</v>
      </c>
      <c r="D530" s="2">
        <v>44802.896249999998</v>
      </c>
    </row>
    <row r="531" spans="1:4" x14ac:dyDescent="0.3">
      <c r="A531" t="s">
        <v>793</v>
      </c>
      <c r="B531" t="s">
        <v>680</v>
      </c>
      <c r="D531" s="2">
        <v>44802.896249999998</v>
      </c>
    </row>
    <row r="532" spans="1:4" x14ac:dyDescent="0.3">
      <c r="A532" t="s">
        <v>793</v>
      </c>
      <c r="B532" t="s">
        <v>681</v>
      </c>
      <c r="D532" s="2">
        <v>44802.896249999998</v>
      </c>
    </row>
    <row r="533" spans="1:4" x14ac:dyDescent="0.3">
      <c r="A533" t="s">
        <v>793</v>
      </c>
      <c r="B533" t="s">
        <v>682</v>
      </c>
      <c r="D533" s="2">
        <v>44802.896249999998</v>
      </c>
    </row>
    <row r="534" spans="1:4" x14ac:dyDescent="0.3">
      <c r="A534" t="s">
        <v>793</v>
      </c>
      <c r="B534" t="s">
        <v>683</v>
      </c>
      <c r="D534" s="2">
        <v>44802.896249999998</v>
      </c>
    </row>
    <row r="535" spans="1:4" x14ac:dyDescent="0.3">
      <c r="A535" t="s">
        <v>793</v>
      </c>
      <c r="B535" t="s">
        <v>684</v>
      </c>
      <c r="D535" s="2">
        <v>44802.896249999998</v>
      </c>
    </row>
    <row r="536" spans="1:4" x14ac:dyDescent="0.3">
      <c r="A536" t="s">
        <v>793</v>
      </c>
      <c r="B536" t="s">
        <v>701</v>
      </c>
      <c r="D536" s="2">
        <v>44802.896284722221</v>
      </c>
    </row>
    <row r="537" spans="1:4" x14ac:dyDescent="0.3">
      <c r="A537" t="s">
        <v>793</v>
      </c>
      <c r="B537" t="s">
        <v>702</v>
      </c>
      <c r="D537" s="2">
        <v>44802.896284722221</v>
      </c>
    </row>
    <row r="538" spans="1:4" x14ac:dyDescent="0.3">
      <c r="A538" t="s">
        <v>793</v>
      </c>
      <c r="B538" t="s">
        <v>703</v>
      </c>
      <c r="D538" s="2">
        <v>44802.896284722221</v>
      </c>
    </row>
    <row r="539" spans="1:4" x14ac:dyDescent="0.3">
      <c r="A539" t="s">
        <v>793</v>
      </c>
      <c r="B539" t="s">
        <v>704</v>
      </c>
      <c r="D539" s="2">
        <v>44802.896284722221</v>
      </c>
    </row>
    <row r="540" spans="1:4" x14ac:dyDescent="0.3">
      <c r="A540" t="s">
        <v>793</v>
      </c>
      <c r="B540" t="s">
        <v>705</v>
      </c>
      <c r="D540" s="2">
        <v>44802.896284722221</v>
      </c>
    </row>
    <row r="541" spans="1:4" x14ac:dyDescent="0.3">
      <c r="A541" t="s">
        <v>793</v>
      </c>
      <c r="B541" t="s">
        <v>706</v>
      </c>
      <c r="D541" s="2">
        <v>44802.896284722221</v>
      </c>
    </row>
    <row r="542" spans="1:4" x14ac:dyDescent="0.3">
      <c r="A542" t="s">
        <v>793</v>
      </c>
      <c r="B542" t="s">
        <v>707</v>
      </c>
      <c r="D542" s="2">
        <v>44802.896284722221</v>
      </c>
    </row>
    <row r="543" spans="1:4" x14ac:dyDescent="0.3">
      <c r="A543" t="s">
        <v>793</v>
      </c>
      <c r="B543" t="s">
        <v>708</v>
      </c>
      <c r="D543" s="2">
        <v>44802.896296296298</v>
      </c>
    </row>
    <row r="544" spans="1:4" x14ac:dyDescent="0.3">
      <c r="A544" t="s">
        <v>793</v>
      </c>
      <c r="B544" t="s">
        <v>709</v>
      </c>
      <c r="D544" s="2">
        <v>44802.896296296298</v>
      </c>
    </row>
    <row r="545" spans="1:4" x14ac:dyDescent="0.3">
      <c r="A545" t="s">
        <v>793</v>
      </c>
      <c r="B545" t="s">
        <v>710</v>
      </c>
      <c r="D545" s="2">
        <v>44802.896296296298</v>
      </c>
    </row>
    <row r="546" spans="1:4" x14ac:dyDescent="0.3">
      <c r="A546" t="s">
        <v>793</v>
      </c>
      <c r="B546" t="s">
        <v>711</v>
      </c>
      <c r="D546" s="2">
        <v>44802.896296296298</v>
      </c>
    </row>
    <row r="547" spans="1:4" x14ac:dyDescent="0.3">
      <c r="A547" t="s">
        <v>793</v>
      </c>
      <c r="B547" t="s">
        <v>712</v>
      </c>
      <c r="D547" s="2">
        <v>44802.896296296298</v>
      </c>
    </row>
    <row r="548" spans="1:4" x14ac:dyDescent="0.3">
      <c r="A548" t="s">
        <v>793</v>
      </c>
      <c r="B548" t="s">
        <v>713</v>
      </c>
      <c r="D548" s="2">
        <v>44802.896296296298</v>
      </c>
    </row>
    <row r="549" spans="1:4" x14ac:dyDescent="0.3">
      <c r="A549" t="s">
        <v>793</v>
      </c>
      <c r="B549" t="s">
        <v>714</v>
      </c>
      <c r="D549" s="2">
        <v>44802.896296296298</v>
      </c>
    </row>
    <row r="550" spans="1:4" x14ac:dyDescent="0.3">
      <c r="A550" t="s">
        <v>793</v>
      </c>
      <c r="B550" t="s">
        <v>715</v>
      </c>
      <c r="D550" s="2">
        <v>44802.896307870367</v>
      </c>
    </row>
    <row r="551" spans="1:4" x14ac:dyDescent="0.3">
      <c r="A551" t="s">
        <v>793</v>
      </c>
      <c r="B551" t="s">
        <v>716</v>
      </c>
      <c r="D551" s="2">
        <v>44802.896307870367</v>
      </c>
    </row>
    <row r="552" spans="1:4" x14ac:dyDescent="0.3">
      <c r="A552" t="s">
        <v>793</v>
      </c>
      <c r="B552" t="s">
        <v>717</v>
      </c>
      <c r="D552" s="2">
        <v>44802.896307870367</v>
      </c>
    </row>
    <row r="553" spans="1:4" x14ac:dyDescent="0.3">
      <c r="A553" t="s">
        <v>793</v>
      </c>
      <c r="B553" t="s">
        <v>718</v>
      </c>
      <c r="D553" s="2">
        <v>44802.896307870367</v>
      </c>
    </row>
    <row r="554" spans="1:4" x14ac:dyDescent="0.3">
      <c r="A554" t="s">
        <v>793</v>
      </c>
      <c r="B554" t="s">
        <v>720</v>
      </c>
      <c r="D554" s="2">
        <v>44802.896307870367</v>
      </c>
    </row>
    <row r="555" spans="1:4" x14ac:dyDescent="0.3">
      <c r="A555" t="s">
        <v>793</v>
      </c>
      <c r="B555" t="s">
        <v>721</v>
      </c>
      <c r="D555" s="2">
        <v>44802.896307870367</v>
      </c>
    </row>
    <row r="556" spans="1:4" x14ac:dyDescent="0.3">
      <c r="A556" t="s">
        <v>793</v>
      </c>
      <c r="B556" t="s">
        <v>722</v>
      </c>
      <c r="D556" s="2">
        <v>44802.896319444444</v>
      </c>
    </row>
    <row r="557" spans="1:4" x14ac:dyDescent="0.3">
      <c r="A557" t="s">
        <v>793</v>
      </c>
      <c r="B557" t="s">
        <v>723</v>
      </c>
      <c r="D557" s="2">
        <v>44802.896319444444</v>
      </c>
    </row>
    <row r="558" spans="1:4" x14ac:dyDescent="0.3">
      <c r="A558" t="s">
        <v>793</v>
      </c>
      <c r="B558" t="s">
        <v>724</v>
      </c>
      <c r="D558" s="2">
        <v>44802.896319444444</v>
      </c>
    </row>
    <row r="559" spans="1:4" x14ac:dyDescent="0.3">
      <c r="A559" t="s">
        <v>793</v>
      </c>
      <c r="B559" t="s">
        <v>725</v>
      </c>
      <c r="D559" s="2">
        <v>44802.896319444444</v>
      </c>
    </row>
    <row r="560" spans="1:4" x14ac:dyDescent="0.3">
      <c r="A560" t="s">
        <v>793</v>
      </c>
      <c r="B560" t="s">
        <v>726</v>
      </c>
      <c r="D560" s="2">
        <v>44802.896319444444</v>
      </c>
    </row>
    <row r="561" spans="1:4" x14ac:dyDescent="0.3">
      <c r="A561" t="s">
        <v>793</v>
      </c>
      <c r="B561" t="s">
        <v>727</v>
      </c>
      <c r="D561" s="2">
        <v>44802.896319444444</v>
      </c>
    </row>
    <row r="562" spans="1:4" x14ac:dyDescent="0.3">
      <c r="A562" t="s">
        <v>793</v>
      </c>
      <c r="B562" t="s">
        <v>728</v>
      </c>
      <c r="D562" s="2">
        <v>44802.896319444444</v>
      </c>
    </row>
    <row r="563" spans="1:4" x14ac:dyDescent="0.3">
      <c r="A563" t="s">
        <v>793</v>
      </c>
      <c r="B563" t="s">
        <v>729</v>
      </c>
      <c r="D563" s="2">
        <v>44802.896319444444</v>
      </c>
    </row>
    <row r="564" spans="1:4" x14ac:dyDescent="0.3">
      <c r="A564" t="s">
        <v>793</v>
      </c>
      <c r="B564" t="s">
        <v>731</v>
      </c>
      <c r="D564" s="2">
        <v>44802.896331018521</v>
      </c>
    </row>
    <row r="565" spans="1:4" x14ac:dyDescent="0.3">
      <c r="A565" t="s">
        <v>793</v>
      </c>
      <c r="B565" t="s">
        <v>732</v>
      </c>
      <c r="D565" s="2">
        <v>44802.896331018521</v>
      </c>
    </row>
    <row r="566" spans="1:4" x14ac:dyDescent="0.3">
      <c r="A566" t="s">
        <v>793</v>
      </c>
      <c r="B566" t="s">
        <v>733</v>
      </c>
      <c r="C566">
        <v>4907129</v>
      </c>
      <c r="D566" s="2">
        <v>44802.896331018521</v>
      </c>
    </row>
    <row r="567" spans="1:4" x14ac:dyDescent="0.3">
      <c r="A567" t="s">
        <v>793</v>
      </c>
      <c r="B567" t="s">
        <v>734</v>
      </c>
      <c r="C567">
        <v>4908192</v>
      </c>
      <c r="D567" s="2">
        <v>44802.896331018521</v>
      </c>
    </row>
    <row r="568" spans="1:4" x14ac:dyDescent="0.3">
      <c r="A568" t="s">
        <v>793</v>
      </c>
      <c r="B568" t="s">
        <v>736</v>
      </c>
      <c r="C568">
        <v>4907149</v>
      </c>
      <c r="D568" s="2">
        <v>44802.896331018521</v>
      </c>
    </row>
    <row r="569" spans="1:4" x14ac:dyDescent="0.3">
      <c r="A569" t="s">
        <v>793</v>
      </c>
      <c r="B569" t="s">
        <v>739</v>
      </c>
      <c r="D569" s="2">
        <v>44802.89634259259</v>
      </c>
    </row>
    <row r="570" spans="1:4" x14ac:dyDescent="0.3">
      <c r="A570" t="s">
        <v>793</v>
      </c>
      <c r="B570" t="s">
        <v>740</v>
      </c>
      <c r="C570">
        <v>4907180</v>
      </c>
      <c r="D570" s="2">
        <v>44802.89634259259</v>
      </c>
    </row>
    <row r="571" spans="1:4" x14ac:dyDescent="0.3">
      <c r="A571" t="s">
        <v>793</v>
      </c>
      <c r="B571" t="s">
        <v>741</v>
      </c>
      <c r="C571">
        <v>4907141</v>
      </c>
      <c r="D571" s="2">
        <v>44802.89634259259</v>
      </c>
    </row>
    <row r="572" spans="1:4" x14ac:dyDescent="0.3">
      <c r="A572" t="s">
        <v>793</v>
      </c>
      <c r="B572" t="s">
        <v>743</v>
      </c>
      <c r="D572" s="2">
        <v>44802.89634259259</v>
      </c>
    </row>
    <row r="573" spans="1:4" x14ac:dyDescent="0.3">
      <c r="A573" t="s">
        <v>793</v>
      </c>
      <c r="B573" t="s">
        <v>744</v>
      </c>
      <c r="D573" s="2">
        <v>44802.896354166667</v>
      </c>
    </row>
    <row r="574" spans="1:4" x14ac:dyDescent="0.3">
      <c r="A574" t="s">
        <v>793</v>
      </c>
      <c r="B574" t="s">
        <v>745</v>
      </c>
      <c r="D574" s="2">
        <v>44802.896354166667</v>
      </c>
    </row>
    <row r="575" spans="1:4" x14ac:dyDescent="0.3">
      <c r="A575" t="s">
        <v>793</v>
      </c>
      <c r="B575" t="s">
        <v>748</v>
      </c>
      <c r="D575" s="2">
        <v>44802.896354166667</v>
      </c>
    </row>
    <row r="576" spans="1:4" x14ac:dyDescent="0.3">
      <c r="A576" t="s">
        <v>793</v>
      </c>
      <c r="B576" t="s">
        <v>211</v>
      </c>
      <c r="C576">
        <v>4906051</v>
      </c>
      <c r="D576" s="2">
        <v>44802.896562499998</v>
      </c>
    </row>
    <row r="577" spans="1:4" x14ac:dyDescent="0.3">
      <c r="A577" t="s">
        <v>793</v>
      </c>
      <c r="B577" t="s">
        <v>215</v>
      </c>
      <c r="C577">
        <v>4903144</v>
      </c>
      <c r="D577" s="2">
        <v>44802.89702546296</v>
      </c>
    </row>
    <row r="578" spans="1:4" x14ac:dyDescent="0.3">
      <c r="A578" t="s">
        <v>793</v>
      </c>
      <c r="B578" t="s">
        <v>270</v>
      </c>
      <c r="C578">
        <v>4902734</v>
      </c>
      <c r="D578" s="2">
        <v>44802.898506944446</v>
      </c>
    </row>
    <row r="579" spans="1:4" x14ac:dyDescent="0.3">
      <c r="A579" t="s">
        <v>793</v>
      </c>
      <c r="B579" t="s">
        <v>216</v>
      </c>
      <c r="C579">
        <v>4908259</v>
      </c>
      <c r="D579" s="2">
        <v>44811.316550925927</v>
      </c>
    </row>
    <row r="580" spans="1:4" x14ac:dyDescent="0.3">
      <c r="A580" t="s">
        <v>793</v>
      </c>
      <c r="B580" t="s">
        <v>248</v>
      </c>
      <c r="C580">
        <v>4908259</v>
      </c>
      <c r="D580" s="2">
        <v>44811.316655092596</v>
      </c>
    </row>
    <row r="581" spans="1:4" x14ac:dyDescent="0.3">
      <c r="A581" t="s">
        <v>793</v>
      </c>
      <c r="B581" t="s">
        <v>218</v>
      </c>
      <c r="C581">
        <v>4902868</v>
      </c>
      <c r="D581" s="2">
        <v>44811.316712962966</v>
      </c>
    </row>
    <row r="582" spans="1:4" x14ac:dyDescent="0.3">
      <c r="A582" t="s">
        <v>793</v>
      </c>
      <c r="B582" t="s">
        <v>250</v>
      </c>
      <c r="C582">
        <v>4902868</v>
      </c>
      <c r="D582" s="2">
        <v>44811.316863425927</v>
      </c>
    </row>
    <row r="583" spans="1:4" x14ac:dyDescent="0.3">
      <c r="A583" t="s">
        <v>793</v>
      </c>
      <c r="B583" t="s">
        <v>220</v>
      </c>
      <c r="C583">
        <v>4902852</v>
      </c>
      <c r="D583" s="2">
        <v>44811.317094907405</v>
      </c>
    </row>
    <row r="584" spans="1:4" x14ac:dyDescent="0.3">
      <c r="A584" t="s">
        <v>793</v>
      </c>
      <c r="B584" t="s">
        <v>252</v>
      </c>
      <c r="C584">
        <v>4903130</v>
      </c>
      <c r="D584" s="2">
        <v>44811.317245370374</v>
      </c>
    </row>
    <row r="585" spans="1:4" x14ac:dyDescent="0.3">
      <c r="A585" t="s">
        <v>793</v>
      </c>
      <c r="B585" t="s">
        <v>223</v>
      </c>
      <c r="C585">
        <v>4902912</v>
      </c>
      <c r="D585" s="2">
        <v>44811.317303240743</v>
      </c>
    </row>
    <row r="586" spans="1:4" x14ac:dyDescent="0.3">
      <c r="A586" t="s">
        <v>793</v>
      </c>
      <c r="B586" t="s">
        <v>255</v>
      </c>
      <c r="C586">
        <v>4902912</v>
      </c>
      <c r="D586" s="2">
        <v>44811.317418981482</v>
      </c>
    </row>
    <row r="587" spans="1:4" x14ac:dyDescent="0.3">
      <c r="A587" t="s">
        <v>793</v>
      </c>
      <c r="B587" t="s">
        <v>429</v>
      </c>
      <c r="C587">
        <v>4908253</v>
      </c>
      <c r="D587" s="2">
        <v>44811.317662037036</v>
      </c>
    </row>
    <row r="588" spans="1:4" x14ac:dyDescent="0.3">
      <c r="A588" t="s">
        <v>793</v>
      </c>
      <c r="B588" t="s">
        <v>441</v>
      </c>
      <c r="C588">
        <v>4908253</v>
      </c>
      <c r="D588" s="2">
        <v>44811.317708333336</v>
      </c>
    </row>
    <row r="589" spans="1:4" x14ac:dyDescent="0.3">
      <c r="A589" t="s">
        <v>793</v>
      </c>
      <c r="B589" t="s">
        <v>444</v>
      </c>
      <c r="C589">
        <v>4902842</v>
      </c>
      <c r="D589" s="2">
        <v>44811.317789351851</v>
      </c>
    </row>
    <row r="590" spans="1:4" x14ac:dyDescent="0.3">
      <c r="A590" t="s">
        <v>793</v>
      </c>
      <c r="B590" t="s">
        <v>432</v>
      </c>
      <c r="C590">
        <v>4902937</v>
      </c>
      <c r="D590" s="2">
        <v>44811.317847222221</v>
      </c>
    </row>
    <row r="591" spans="1:4" x14ac:dyDescent="0.3">
      <c r="A591" t="s">
        <v>793</v>
      </c>
      <c r="B591" t="s">
        <v>479</v>
      </c>
      <c r="C591">
        <v>4908262</v>
      </c>
      <c r="D591" s="2">
        <v>44811.31795138889</v>
      </c>
    </row>
    <row r="592" spans="1:4" x14ac:dyDescent="0.3">
      <c r="A592" t="s">
        <v>793</v>
      </c>
      <c r="B592" t="s">
        <v>495</v>
      </c>
      <c r="C592">
        <v>4908262</v>
      </c>
      <c r="D592" s="2">
        <v>44811.318009259259</v>
      </c>
    </row>
    <row r="593" spans="1:4" x14ac:dyDescent="0.3">
      <c r="A593" t="s">
        <v>793</v>
      </c>
      <c r="B593" t="s">
        <v>496</v>
      </c>
      <c r="C593">
        <v>4908264</v>
      </c>
      <c r="D593" s="2">
        <v>44811.318090277775</v>
      </c>
    </row>
    <row r="594" spans="1:4" x14ac:dyDescent="0.3">
      <c r="A594" t="s">
        <v>793</v>
      </c>
      <c r="B594" t="s">
        <v>480</v>
      </c>
      <c r="C594">
        <v>4908264</v>
      </c>
      <c r="D594" s="2">
        <v>44811.318124999998</v>
      </c>
    </row>
    <row r="595" spans="1:4" x14ac:dyDescent="0.3">
      <c r="A595" t="s">
        <v>793</v>
      </c>
      <c r="B595" t="s">
        <v>481</v>
      </c>
      <c r="C595">
        <v>4908260</v>
      </c>
      <c r="D595" s="2">
        <v>44811.318182870367</v>
      </c>
    </row>
    <row r="596" spans="1:4" x14ac:dyDescent="0.3">
      <c r="A596" t="s">
        <v>793</v>
      </c>
      <c r="B596" t="s">
        <v>497</v>
      </c>
      <c r="C596">
        <v>4908260</v>
      </c>
      <c r="D596" s="2">
        <v>44811.318252314813</v>
      </c>
    </row>
    <row r="597" spans="1:4" x14ac:dyDescent="0.3">
      <c r="A597" t="s">
        <v>793</v>
      </c>
      <c r="B597" t="s">
        <v>498</v>
      </c>
      <c r="C597">
        <v>4908267</v>
      </c>
      <c r="D597" s="2">
        <v>44811.318356481483</v>
      </c>
    </row>
    <row r="598" spans="1:4" x14ac:dyDescent="0.3">
      <c r="A598" t="s">
        <v>793</v>
      </c>
      <c r="B598" t="s">
        <v>482</v>
      </c>
      <c r="C598">
        <v>4908267</v>
      </c>
      <c r="D598" s="2">
        <v>44811.318402777775</v>
      </c>
    </row>
    <row r="599" spans="1:4" x14ac:dyDescent="0.3">
      <c r="A599" t="s">
        <v>793</v>
      </c>
      <c r="B599" t="s">
        <v>483</v>
      </c>
      <c r="C599">
        <v>4908268</v>
      </c>
      <c r="D599" s="2">
        <v>44811.318530092591</v>
      </c>
    </row>
    <row r="600" spans="1:4" x14ac:dyDescent="0.3">
      <c r="A600" t="s">
        <v>793</v>
      </c>
      <c r="B600" t="s">
        <v>499</v>
      </c>
      <c r="C600">
        <v>4908268</v>
      </c>
      <c r="D600" s="2">
        <v>44811.318622685183</v>
      </c>
    </row>
    <row r="601" spans="1:4" x14ac:dyDescent="0.3">
      <c r="A601" t="s">
        <v>793</v>
      </c>
      <c r="B601" t="s">
        <v>500</v>
      </c>
      <c r="C601">
        <v>4908261</v>
      </c>
      <c r="D601" s="2">
        <v>44811.318668981483</v>
      </c>
    </row>
    <row r="602" spans="1:4" x14ac:dyDescent="0.3">
      <c r="A602" t="s">
        <v>793</v>
      </c>
      <c r="B602" t="s">
        <v>484</v>
      </c>
      <c r="C602">
        <v>4908261</v>
      </c>
      <c r="D602" s="2">
        <v>44811.318807870368</v>
      </c>
    </row>
    <row r="603" spans="1:4" x14ac:dyDescent="0.3">
      <c r="A603" t="s">
        <v>793</v>
      </c>
      <c r="B603" t="s">
        <v>583</v>
      </c>
      <c r="C603">
        <v>4907250</v>
      </c>
      <c r="D603" s="2">
        <v>44811.318935185183</v>
      </c>
    </row>
    <row r="604" spans="1:4" x14ac:dyDescent="0.3">
      <c r="A604" t="s">
        <v>793</v>
      </c>
      <c r="B604" t="s">
        <v>595</v>
      </c>
      <c r="C604">
        <v>4907252</v>
      </c>
      <c r="D604" s="2">
        <v>44811.318969907406</v>
      </c>
    </row>
    <row r="605" spans="1:4" x14ac:dyDescent="0.3">
      <c r="A605" t="s">
        <v>793</v>
      </c>
      <c r="B605" t="s">
        <v>596</v>
      </c>
      <c r="C605">
        <v>4908226</v>
      </c>
      <c r="D605" s="2">
        <v>44811.319016203706</v>
      </c>
    </row>
    <row r="606" spans="1:4" x14ac:dyDescent="0.3">
      <c r="A606" t="s">
        <v>793</v>
      </c>
      <c r="B606" t="s">
        <v>584</v>
      </c>
      <c r="C606">
        <v>4908226</v>
      </c>
      <c r="D606" s="2">
        <v>44811.319062499999</v>
      </c>
    </row>
    <row r="607" spans="1:4" x14ac:dyDescent="0.3">
      <c r="A607" t="s">
        <v>793</v>
      </c>
      <c r="B607" t="s">
        <v>585</v>
      </c>
      <c r="C607">
        <v>4908277</v>
      </c>
      <c r="D607" s="2">
        <v>44811.319143518522</v>
      </c>
    </row>
    <row r="608" spans="1:4" x14ac:dyDescent="0.3">
      <c r="A608" t="s">
        <v>793</v>
      </c>
      <c r="B608" t="s">
        <v>597</v>
      </c>
      <c r="C608">
        <v>4908277</v>
      </c>
      <c r="D608" s="2">
        <v>44811.319247685184</v>
      </c>
    </row>
    <row r="609" spans="1:4" x14ac:dyDescent="0.3">
      <c r="A609" t="s">
        <v>793</v>
      </c>
      <c r="B609" t="s">
        <v>599</v>
      </c>
      <c r="C609">
        <v>4908276</v>
      </c>
      <c r="D609" s="2">
        <v>44811.319421296299</v>
      </c>
    </row>
    <row r="610" spans="1:4" x14ac:dyDescent="0.3">
      <c r="A610" t="s">
        <v>793</v>
      </c>
      <c r="B610" t="s">
        <v>587</v>
      </c>
      <c r="C610">
        <v>4908276</v>
      </c>
      <c r="D610" s="2">
        <v>44811.319537037038</v>
      </c>
    </row>
    <row r="611" spans="1:4" x14ac:dyDescent="0.3">
      <c r="A611" t="s">
        <v>793</v>
      </c>
      <c r="B611" t="s">
        <v>588</v>
      </c>
      <c r="C611">
        <v>4908273</v>
      </c>
      <c r="D611" s="2">
        <v>44811.319756944446</v>
      </c>
    </row>
    <row r="612" spans="1:4" x14ac:dyDescent="0.3">
      <c r="A612" t="s">
        <v>793</v>
      </c>
      <c r="B612" t="s">
        <v>600</v>
      </c>
      <c r="C612">
        <v>4908273</v>
      </c>
      <c r="D612" s="2">
        <v>44811.319803240738</v>
      </c>
    </row>
    <row r="613" spans="1:4" x14ac:dyDescent="0.3">
      <c r="A613" t="s">
        <v>793</v>
      </c>
      <c r="B613" t="s">
        <v>601</v>
      </c>
      <c r="C613">
        <v>4908225</v>
      </c>
      <c r="D613" s="2">
        <v>44811.319930555554</v>
      </c>
    </row>
    <row r="614" spans="1:4" x14ac:dyDescent="0.3">
      <c r="A614" t="s">
        <v>793</v>
      </c>
      <c r="B614" t="s">
        <v>589</v>
      </c>
      <c r="C614">
        <v>4908225</v>
      </c>
      <c r="D614" s="2">
        <v>44811.320011574076</v>
      </c>
    </row>
    <row r="615" spans="1:4" x14ac:dyDescent="0.3">
      <c r="A615" t="s">
        <v>793</v>
      </c>
      <c r="B615" t="s">
        <v>719</v>
      </c>
      <c r="C615">
        <v>4908253</v>
      </c>
      <c r="D615" s="2">
        <v>44811.320150462961</v>
      </c>
    </row>
    <row r="616" spans="1:4" x14ac:dyDescent="0.3">
      <c r="A616" t="s">
        <v>793</v>
      </c>
      <c r="B616" t="s">
        <v>735</v>
      </c>
      <c r="C616">
        <v>4908253</v>
      </c>
      <c r="D616" s="2">
        <v>44811.320254629631</v>
      </c>
    </row>
    <row r="617" spans="1:4" x14ac:dyDescent="0.3">
      <c r="A617" t="s">
        <v>793</v>
      </c>
      <c r="B617" t="s">
        <v>738</v>
      </c>
      <c r="D617" s="2">
        <v>44811.320393518516</v>
      </c>
    </row>
    <row r="618" spans="1:4" x14ac:dyDescent="0.3">
      <c r="A618" t="s">
        <v>793</v>
      </c>
      <c r="B618" t="s">
        <v>742</v>
      </c>
      <c r="D618" s="2">
        <v>44811.3205787037</v>
      </c>
    </row>
    <row r="619" spans="1:4" x14ac:dyDescent="0.3">
      <c r="A619" t="s">
        <v>793</v>
      </c>
      <c r="B619" t="s">
        <v>485</v>
      </c>
      <c r="C619">
        <v>4908271</v>
      </c>
      <c r="D619" s="2">
        <v>44811.320648148147</v>
      </c>
    </row>
    <row r="620" spans="1:4" x14ac:dyDescent="0.3">
      <c r="A620" t="s">
        <v>793</v>
      </c>
      <c r="B620" t="s">
        <v>501</v>
      </c>
      <c r="C620">
        <v>4908271</v>
      </c>
      <c r="D620" s="2">
        <v>44811.320717592593</v>
      </c>
    </row>
    <row r="621" spans="1:4" x14ac:dyDescent="0.3">
      <c r="A621" t="s">
        <v>793</v>
      </c>
      <c r="B621" t="s">
        <v>502</v>
      </c>
      <c r="C621">
        <v>4908270</v>
      </c>
      <c r="D621" s="2">
        <v>44811.320775462962</v>
      </c>
    </row>
    <row r="622" spans="1:4" x14ac:dyDescent="0.3">
      <c r="A622" t="s">
        <v>793</v>
      </c>
      <c r="B622" t="s">
        <v>486</v>
      </c>
      <c r="C622">
        <v>4908270</v>
      </c>
      <c r="D622" s="2">
        <v>44811.320810185185</v>
      </c>
    </row>
    <row r="623" spans="1:4" x14ac:dyDescent="0.3">
      <c r="A623" t="s">
        <v>793</v>
      </c>
      <c r="B623" t="s">
        <v>487</v>
      </c>
      <c r="C623">
        <v>4908272</v>
      </c>
      <c r="D623" s="2">
        <v>44811.320960648147</v>
      </c>
    </row>
    <row r="624" spans="1:4" x14ac:dyDescent="0.3">
      <c r="A624" t="s">
        <v>793</v>
      </c>
      <c r="B624" t="s">
        <v>503</v>
      </c>
      <c r="C624">
        <v>4908272</v>
      </c>
      <c r="D624" s="2">
        <v>44811.321006944447</v>
      </c>
    </row>
    <row r="625" spans="1:4" x14ac:dyDescent="0.3">
      <c r="A625" t="s">
        <v>793</v>
      </c>
      <c r="B625" t="s">
        <v>504</v>
      </c>
      <c r="C625">
        <v>4908274</v>
      </c>
      <c r="D625" s="2">
        <v>44811.321076388886</v>
      </c>
    </row>
    <row r="626" spans="1:4" x14ac:dyDescent="0.3">
      <c r="A626" t="s">
        <v>793</v>
      </c>
      <c r="B626" t="s">
        <v>488</v>
      </c>
      <c r="C626">
        <v>4908274</v>
      </c>
      <c r="D626" s="2">
        <v>44811.321145833332</v>
      </c>
    </row>
    <row r="627" spans="1:4" x14ac:dyDescent="0.3">
      <c r="A627" t="s">
        <v>793</v>
      </c>
      <c r="B627" t="s">
        <v>489</v>
      </c>
      <c r="C627">
        <v>4908275</v>
      </c>
      <c r="D627" s="2">
        <v>44811.321238425924</v>
      </c>
    </row>
    <row r="628" spans="1:4" x14ac:dyDescent="0.3">
      <c r="A628" t="s">
        <v>793</v>
      </c>
      <c r="B628" t="s">
        <v>505</v>
      </c>
      <c r="C628">
        <v>4908275</v>
      </c>
      <c r="D628" s="2">
        <v>44811.321331018517</v>
      </c>
    </row>
    <row r="629" spans="1:4" x14ac:dyDescent="0.3">
      <c r="A629" t="s">
        <v>793</v>
      </c>
      <c r="B629" t="s">
        <v>490</v>
      </c>
      <c r="C629">
        <v>4908225</v>
      </c>
      <c r="D629" s="2">
        <v>44811.321412037039</v>
      </c>
    </row>
    <row r="630" spans="1:4" x14ac:dyDescent="0.3">
      <c r="A630" t="s">
        <v>793</v>
      </c>
      <c r="B630" t="s">
        <v>506</v>
      </c>
      <c r="C630">
        <v>4908225</v>
      </c>
      <c r="D630" s="2">
        <v>44811.321493055555</v>
      </c>
    </row>
    <row r="631" spans="1:4" x14ac:dyDescent="0.3">
      <c r="A631" t="s">
        <v>793</v>
      </c>
      <c r="B631" t="s">
        <v>507</v>
      </c>
      <c r="C631">
        <v>4908226</v>
      </c>
      <c r="D631" s="2">
        <v>44811.321550925924</v>
      </c>
    </row>
    <row r="632" spans="1:4" x14ac:dyDescent="0.3">
      <c r="A632" t="s">
        <v>793</v>
      </c>
      <c r="B632" t="s">
        <v>491</v>
      </c>
      <c r="C632">
        <v>4908226</v>
      </c>
      <c r="D632" s="2">
        <v>44811.321608796294</v>
      </c>
    </row>
    <row r="633" spans="1:4" x14ac:dyDescent="0.3">
      <c r="A633" t="s">
        <v>793</v>
      </c>
      <c r="B633" t="s">
        <v>492</v>
      </c>
      <c r="C633">
        <v>4902846</v>
      </c>
      <c r="D633" s="2">
        <v>44811.321770833332</v>
      </c>
    </row>
    <row r="634" spans="1:4" x14ac:dyDescent="0.3">
      <c r="A634" t="s">
        <v>793</v>
      </c>
      <c r="B634" t="s">
        <v>737</v>
      </c>
      <c r="C634">
        <v>4903986</v>
      </c>
      <c r="D634" s="2">
        <v>44811.322905092595</v>
      </c>
    </row>
    <row r="635" spans="1:4" x14ac:dyDescent="0.3">
      <c r="A635" t="s">
        <v>793</v>
      </c>
      <c r="B635" s="3" t="s">
        <v>780</v>
      </c>
      <c r="C635">
        <v>2</v>
      </c>
      <c r="D635" s="2">
        <v>44837.923449074071</v>
      </c>
    </row>
    <row r="636" spans="1:4" x14ac:dyDescent="0.3">
      <c r="A636" t="s">
        <v>793</v>
      </c>
      <c r="B636" s="3" t="s">
        <v>782</v>
      </c>
      <c r="C636">
        <v>2</v>
      </c>
      <c r="D636" s="2">
        <v>44837.923460648148</v>
      </c>
    </row>
    <row r="637" spans="1:4" x14ac:dyDescent="0.3">
      <c r="A637" t="s">
        <v>793</v>
      </c>
      <c r="B637" s="3" t="s">
        <v>783</v>
      </c>
      <c r="C637">
        <v>2</v>
      </c>
      <c r="D637" s="2">
        <v>44837.923472222225</v>
      </c>
    </row>
    <row r="638" spans="1:4" x14ac:dyDescent="0.3">
      <c r="A638" t="s">
        <v>793</v>
      </c>
      <c r="B638" s="3" t="s">
        <v>775</v>
      </c>
      <c r="C638">
        <v>2</v>
      </c>
      <c r="D638" s="2">
        <v>44837.923472222225</v>
      </c>
    </row>
    <row r="639" spans="1:4" x14ac:dyDescent="0.3">
      <c r="A639" t="s">
        <v>793</v>
      </c>
      <c r="B639" s="3" t="s">
        <v>651</v>
      </c>
      <c r="D639" s="2">
        <v>44837.924270833333</v>
      </c>
    </row>
    <row r="640" spans="1:4" x14ac:dyDescent="0.3">
      <c r="A640" t="s">
        <v>793</v>
      </c>
      <c r="B640" s="3" t="s">
        <v>23</v>
      </c>
      <c r="D640" s="2">
        <v>44839.380011574074</v>
      </c>
    </row>
    <row r="641" spans="1:4" x14ac:dyDescent="0.3">
      <c r="A641" t="s">
        <v>793</v>
      </c>
      <c r="B641" s="3" t="s">
        <v>87</v>
      </c>
      <c r="D641" s="2">
        <v>44839.380011574074</v>
      </c>
    </row>
    <row r="642" spans="1:4" x14ac:dyDescent="0.3">
      <c r="A642" t="s">
        <v>793</v>
      </c>
      <c r="B642" s="3" t="s">
        <v>83</v>
      </c>
      <c r="D642" s="2">
        <v>44839.385092592594</v>
      </c>
    </row>
    <row r="643" spans="1:4" x14ac:dyDescent="0.3">
      <c r="A643" t="s">
        <v>793</v>
      </c>
      <c r="B643" s="3" t="s">
        <v>147</v>
      </c>
      <c r="D643" s="2">
        <v>44839.385115740741</v>
      </c>
    </row>
    <row r="644" spans="1:4" x14ac:dyDescent="0.3">
      <c r="A644" t="s">
        <v>793</v>
      </c>
      <c r="B644" s="3" t="s">
        <v>31</v>
      </c>
      <c r="D644" s="2">
        <v>44839.385127314818</v>
      </c>
    </row>
    <row r="645" spans="1:4" x14ac:dyDescent="0.3">
      <c r="A645" t="s">
        <v>793</v>
      </c>
      <c r="B645" s="3" t="s">
        <v>95</v>
      </c>
      <c r="D645" s="2">
        <v>44839.385138888887</v>
      </c>
    </row>
    <row r="646" spans="1:4" x14ac:dyDescent="0.3">
      <c r="A646" t="s">
        <v>793</v>
      </c>
      <c r="B646" s="3" t="s">
        <v>159</v>
      </c>
      <c r="D646" s="2">
        <v>44839.385150462964</v>
      </c>
    </row>
    <row r="647" spans="1:4" x14ac:dyDescent="0.3">
      <c r="A647" t="s">
        <v>793</v>
      </c>
      <c r="B647" s="3" t="s">
        <v>35</v>
      </c>
      <c r="D647" s="2">
        <v>44839.385162037041</v>
      </c>
    </row>
    <row r="648" spans="1:4" x14ac:dyDescent="0.3">
      <c r="A648" t="s">
        <v>793</v>
      </c>
      <c r="B648" s="3" t="s">
        <v>99</v>
      </c>
      <c r="D648" s="2">
        <v>44839.385162037041</v>
      </c>
    </row>
    <row r="649" spans="1:4" x14ac:dyDescent="0.3">
      <c r="A649" t="s">
        <v>793</v>
      </c>
      <c r="B649" s="3" t="s">
        <v>163</v>
      </c>
      <c r="D649" s="2">
        <v>44839.385185185187</v>
      </c>
    </row>
    <row r="650" spans="1:4" x14ac:dyDescent="0.3">
      <c r="A650" t="s">
        <v>793</v>
      </c>
      <c r="B650" s="3" t="s">
        <v>39</v>
      </c>
      <c r="D650" s="2">
        <v>44839.385185185187</v>
      </c>
    </row>
    <row r="651" spans="1:4" x14ac:dyDescent="0.3">
      <c r="A651" t="s">
        <v>793</v>
      </c>
      <c r="B651" s="3" t="s">
        <v>103</v>
      </c>
      <c r="D651" s="2">
        <v>44839.385196759256</v>
      </c>
    </row>
    <row r="652" spans="1:4" x14ac:dyDescent="0.3">
      <c r="A652" t="s">
        <v>793</v>
      </c>
      <c r="B652" s="3" t="s">
        <v>167</v>
      </c>
      <c r="D652" s="2">
        <v>44839.385208333333</v>
      </c>
    </row>
    <row r="653" spans="1:4" x14ac:dyDescent="0.3">
      <c r="A653" t="s">
        <v>793</v>
      </c>
      <c r="B653" s="3" t="s">
        <v>43</v>
      </c>
      <c r="D653" s="2">
        <v>44839.38521990741</v>
      </c>
    </row>
    <row r="654" spans="1:4" x14ac:dyDescent="0.3">
      <c r="A654" t="s">
        <v>793</v>
      </c>
      <c r="B654" s="3" t="s">
        <v>107</v>
      </c>
      <c r="D654" s="2">
        <v>44839.38521990741</v>
      </c>
    </row>
    <row r="655" spans="1:4" x14ac:dyDescent="0.3">
      <c r="A655" t="s">
        <v>793</v>
      </c>
      <c r="B655" s="3" t="s">
        <v>171</v>
      </c>
      <c r="D655" s="2">
        <v>44839.385231481479</v>
      </c>
    </row>
    <row r="656" spans="1:4" x14ac:dyDescent="0.3">
      <c r="A656" t="s">
        <v>793</v>
      </c>
      <c r="B656" s="3" t="s">
        <v>47</v>
      </c>
      <c r="D656" s="2">
        <v>44839.385254629633</v>
      </c>
    </row>
    <row r="657" spans="1:4" x14ac:dyDescent="0.3">
      <c r="A657" t="s">
        <v>793</v>
      </c>
      <c r="B657" s="3" t="s">
        <v>111</v>
      </c>
      <c r="D657" s="2">
        <v>44839.385266203702</v>
      </c>
    </row>
    <row r="658" spans="1:4" x14ac:dyDescent="0.3">
      <c r="A658" t="s">
        <v>793</v>
      </c>
      <c r="B658" s="3" t="s">
        <v>175</v>
      </c>
      <c r="D658" s="2">
        <v>44839.38553240741</v>
      </c>
    </row>
    <row r="659" spans="1:4" x14ac:dyDescent="0.3">
      <c r="A659" t="s">
        <v>793</v>
      </c>
      <c r="B659" s="3" t="s">
        <v>19</v>
      </c>
      <c r="D659" s="2">
        <v>44839.392465277779</v>
      </c>
    </row>
    <row r="660" spans="1:4" x14ac:dyDescent="0.3">
      <c r="A660" t="s">
        <v>793</v>
      </c>
      <c r="B660" s="3" t="s">
        <v>51</v>
      </c>
      <c r="D660" s="2">
        <v>44839.39271990741</v>
      </c>
    </row>
    <row r="661" spans="1:4" x14ac:dyDescent="0.3">
      <c r="A661" t="s">
        <v>793</v>
      </c>
      <c r="B661" s="3" t="s">
        <v>685</v>
      </c>
      <c r="C661" t="s">
        <v>751</v>
      </c>
      <c r="D661" s="2">
        <v>44839.4</v>
      </c>
    </row>
    <row r="662" spans="1:4" x14ac:dyDescent="0.3">
      <c r="A662" t="s">
        <v>793</v>
      </c>
      <c r="B662" s="3" t="s">
        <v>686</v>
      </c>
      <c r="C662" t="s">
        <v>751</v>
      </c>
      <c r="D662" s="2">
        <v>44839.400023148148</v>
      </c>
    </row>
    <row r="663" spans="1:4" x14ac:dyDescent="0.3">
      <c r="A663" t="s">
        <v>793</v>
      </c>
      <c r="B663" s="3" t="s">
        <v>687</v>
      </c>
      <c r="C663" t="s">
        <v>751</v>
      </c>
      <c r="D663" s="2">
        <v>44839.400034722225</v>
      </c>
    </row>
    <row r="664" spans="1:4" x14ac:dyDescent="0.3">
      <c r="A664" t="s">
        <v>793</v>
      </c>
      <c r="B664" s="3" t="s">
        <v>688</v>
      </c>
      <c r="C664" t="s">
        <v>751</v>
      </c>
      <c r="D664" s="2">
        <v>44839.400046296294</v>
      </c>
    </row>
    <row r="665" spans="1:4" x14ac:dyDescent="0.3">
      <c r="A665" t="s">
        <v>793</v>
      </c>
      <c r="B665" s="3" t="s">
        <v>689</v>
      </c>
      <c r="C665" t="s">
        <v>751</v>
      </c>
      <c r="D665" s="2">
        <v>44839.400069444448</v>
      </c>
    </row>
    <row r="666" spans="1:4" x14ac:dyDescent="0.3">
      <c r="A666" t="s">
        <v>793</v>
      </c>
      <c r="B666" s="3" t="s">
        <v>690</v>
      </c>
      <c r="C666" t="s">
        <v>751</v>
      </c>
      <c r="D666" s="2">
        <v>44839.400092592594</v>
      </c>
    </row>
    <row r="667" spans="1:4" x14ac:dyDescent="0.3">
      <c r="A667" t="s">
        <v>793</v>
      </c>
      <c r="B667" s="3" t="s">
        <v>691</v>
      </c>
      <c r="C667" t="s">
        <v>751</v>
      </c>
      <c r="D667" s="2">
        <v>44839.400104166663</v>
      </c>
    </row>
    <row r="668" spans="1:4" x14ac:dyDescent="0.3">
      <c r="A668" t="s">
        <v>793</v>
      </c>
      <c r="B668" s="3" t="s">
        <v>692</v>
      </c>
      <c r="C668" t="s">
        <v>751</v>
      </c>
      <c r="D668" s="2">
        <v>44839.400127314817</v>
      </c>
    </row>
    <row r="669" spans="1:4" x14ac:dyDescent="0.3">
      <c r="A669" t="s">
        <v>793</v>
      </c>
      <c r="B669" s="3" t="s">
        <v>693</v>
      </c>
      <c r="C669" t="s">
        <v>751</v>
      </c>
      <c r="D669" s="2">
        <v>44839.400138888886</v>
      </c>
    </row>
    <row r="670" spans="1:4" x14ac:dyDescent="0.3">
      <c r="A670" t="s">
        <v>793</v>
      </c>
      <c r="B670" s="3" t="s">
        <v>694</v>
      </c>
      <c r="C670" t="s">
        <v>751</v>
      </c>
      <c r="D670" s="2">
        <v>44839.40016203704</v>
      </c>
    </row>
    <row r="671" spans="1:4" x14ac:dyDescent="0.3">
      <c r="A671" t="s">
        <v>793</v>
      </c>
      <c r="B671" s="3" t="s">
        <v>695</v>
      </c>
      <c r="C671" t="s">
        <v>751</v>
      </c>
      <c r="D671" s="2">
        <v>44839.400173611109</v>
      </c>
    </row>
    <row r="672" spans="1:4" x14ac:dyDescent="0.3">
      <c r="A672" t="s">
        <v>793</v>
      </c>
      <c r="B672" s="3" t="s">
        <v>696</v>
      </c>
      <c r="C672" t="s">
        <v>751</v>
      </c>
      <c r="D672" s="2">
        <v>44839.400185185186</v>
      </c>
    </row>
    <row r="673" spans="1:4" x14ac:dyDescent="0.3">
      <c r="A673" t="s">
        <v>793</v>
      </c>
      <c r="B673" s="3" t="s">
        <v>697</v>
      </c>
      <c r="C673" t="s">
        <v>751</v>
      </c>
      <c r="D673" s="2">
        <v>44839.400208333333</v>
      </c>
    </row>
    <row r="674" spans="1:4" x14ac:dyDescent="0.3">
      <c r="A674" t="s">
        <v>793</v>
      </c>
      <c r="B674" s="3" t="s">
        <v>698</v>
      </c>
      <c r="C674" t="s">
        <v>751</v>
      </c>
      <c r="D674" s="2">
        <v>44839.400219907409</v>
      </c>
    </row>
    <row r="675" spans="1:4" x14ac:dyDescent="0.3">
      <c r="A675" t="s">
        <v>793</v>
      </c>
      <c r="B675" s="3" t="s">
        <v>699</v>
      </c>
      <c r="C675" t="s">
        <v>751</v>
      </c>
      <c r="D675" s="2">
        <v>44839.400243055556</v>
      </c>
    </row>
    <row r="676" spans="1:4" x14ac:dyDescent="0.3">
      <c r="A676" t="s">
        <v>793</v>
      </c>
      <c r="B676" s="3" t="s">
        <v>700</v>
      </c>
      <c r="C676" t="s">
        <v>751</v>
      </c>
      <c r="D676" s="2">
        <v>44839.400277777779</v>
      </c>
    </row>
    <row r="677" spans="1:4" x14ac:dyDescent="0.3">
      <c r="A677" t="s">
        <v>793</v>
      </c>
      <c r="B677" s="3" t="s">
        <v>27</v>
      </c>
      <c r="D677" s="2">
        <v>44839.40284722222</v>
      </c>
    </row>
    <row r="678" spans="1:4" x14ac:dyDescent="0.3">
      <c r="A678" t="s">
        <v>793</v>
      </c>
      <c r="B678" s="3" t="s">
        <v>91</v>
      </c>
      <c r="D678" s="2">
        <v>44839.402858796297</v>
      </c>
    </row>
    <row r="679" spans="1:4" x14ac:dyDescent="0.3">
      <c r="A679" t="s">
        <v>793</v>
      </c>
      <c r="B679" s="3" t="s">
        <v>155</v>
      </c>
      <c r="D679" s="2">
        <v>44839.402916666666</v>
      </c>
    </row>
    <row r="680" spans="1:4" x14ac:dyDescent="0.3">
      <c r="A680" t="s">
        <v>793</v>
      </c>
      <c r="B680" s="3" t="s">
        <v>302</v>
      </c>
      <c r="D680" s="2">
        <v>44839.402939814812</v>
      </c>
    </row>
    <row r="681" spans="1:4" x14ac:dyDescent="0.3">
      <c r="A681" t="s">
        <v>793</v>
      </c>
      <c r="B681" s="3" t="s">
        <v>364</v>
      </c>
      <c r="D681" s="2">
        <v>44839.402939814812</v>
      </c>
    </row>
    <row r="682" spans="1:4" x14ac:dyDescent="0.3">
      <c r="A682" t="s">
        <v>793</v>
      </c>
      <c r="B682" s="3" t="s">
        <v>460</v>
      </c>
      <c r="D682" s="2">
        <v>44839.402951388889</v>
      </c>
    </row>
    <row r="683" spans="1:4" x14ac:dyDescent="0.3">
      <c r="A683" t="s">
        <v>793</v>
      </c>
      <c r="B683" s="3" t="s">
        <v>298</v>
      </c>
      <c r="D683" s="2">
        <v>44839.402962962966</v>
      </c>
    </row>
    <row r="684" spans="1:4" x14ac:dyDescent="0.3">
      <c r="A684" t="s">
        <v>793</v>
      </c>
      <c r="B684" s="3" t="s">
        <v>360</v>
      </c>
      <c r="D684" s="2">
        <v>44839.402962962966</v>
      </c>
    </row>
    <row r="685" spans="1:4" x14ac:dyDescent="0.3">
      <c r="A685" t="s">
        <v>793</v>
      </c>
      <c r="B685" s="3" t="s">
        <v>456</v>
      </c>
      <c r="D685" s="2">
        <v>44839.402974537035</v>
      </c>
    </row>
    <row r="686" spans="1:4" x14ac:dyDescent="0.3">
      <c r="A686" t="s">
        <v>793</v>
      </c>
      <c r="B686" s="3" t="s">
        <v>294</v>
      </c>
      <c r="D686" s="2">
        <v>44839.402986111112</v>
      </c>
    </row>
    <row r="687" spans="1:4" x14ac:dyDescent="0.3">
      <c r="A687" t="s">
        <v>793</v>
      </c>
      <c r="B687" s="3" t="s">
        <v>356</v>
      </c>
      <c r="D687" s="2">
        <v>44839.402997685182</v>
      </c>
    </row>
    <row r="688" spans="1:4" x14ac:dyDescent="0.3">
      <c r="A688" t="s">
        <v>793</v>
      </c>
      <c r="B688" s="3" t="s">
        <v>452</v>
      </c>
      <c r="D688" s="2">
        <v>44839.402997685182</v>
      </c>
    </row>
    <row r="689" spans="1:4" x14ac:dyDescent="0.3">
      <c r="A689" t="s">
        <v>793</v>
      </c>
      <c r="B689" s="3" t="s">
        <v>290</v>
      </c>
      <c r="D689" s="2">
        <v>44839.403009259258</v>
      </c>
    </row>
    <row r="690" spans="1:4" x14ac:dyDescent="0.3">
      <c r="A690" t="s">
        <v>793</v>
      </c>
      <c r="B690" s="3" t="s">
        <v>352</v>
      </c>
      <c r="D690" s="2">
        <v>44839.403009259258</v>
      </c>
    </row>
    <row r="691" spans="1:4" x14ac:dyDescent="0.3">
      <c r="A691" t="s">
        <v>793</v>
      </c>
      <c r="B691" s="3" t="s">
        <v>448</v>
      </c>
      <c r="D691" s="2">
        <v>44839.403032407405</v>
      </c>
    </row>
    <row r="692" spans="1:4" x14ac:dyDescent="0.3">
      <c r="A692" t="s">
        <v>793</v>
      </c>
      <c r="B692" s="3" t="s">
        <v>348</v>
      </c>
      <c r="D692" s="2">
        <v>44839.403032407405</v>
      </c>
    </row>
    <row r="693" spans="1:4" x14ac:dyDescent="0.3">
      <c r="A693" t="s">
        <v>793</v>
      </c>
      <c r="B693" s="3" t="s">
        <v>286</v>
      </c>
      <c r="D693" s="2">
        <v>44839.403055555558</v>
      </c>
    </row>
    <row r="694" spans="1:4" x14ac:dyDescent="0.3">
      <c r="A694" t="s">
        <v>793</v>
      </c>
      <c r="B694" s="3" t="s">
        <v>347</v>
      </c>
      <c r="D694" s="2">
        <v>44839.403055555558</v>
      </c>
    </row>
    <row r="695" spans="1:4" x14ac:dyDescent="0.3">
      <c r="A695" t="s">
        <v>793</v>
      </c>
      <c r="B695" s="3" t="s">
        <v>316</v>
      </c>
      <c r="D695" s="2">
        <v>44839.403067129628</v>
      </c>
    </row>
    <row r="696" spans="1:4" x14ac:dyDescent="0.3">
      <c r="A696" t="s">
        <v>793</v>
      </c>
      <c r="B696" s="3" t="s">
        <v>284</v>
      </c>
      <c r="D696" s="2">
        <v>44839.403078703705</v>
      </c>
    </row>
    <row r="697" spans="1:4" x14ac:dyDescent="0.3">
      <c r="A697" t="s">
        <v>793</v>
      </c>
      <c r="B697" s="3" t="s">
        <v>346</v>
      </c>
      <c r="D697" s="2">
        <v>44839.403078703705</v>
      </c>
    </row>
    <row r="698" spans="1:4" x14ac:dyDescent="0.3">
      <c r="A698" t="s">
        <v>793</v>
      </c>
      <c r="B698" s="3" t="s">
        <v>345</v>
      </c>
      <c r="D698" s="2">
        <v>44839.403090277781</v>
      </c>
    </row>
    <row r="699" spans="1:4" x14ac:dyDescent="0.3">
      <c r="A699" t="s">
        <v>793</v>
      </c>
      <c r="B699" s="3" t="s">
        <v>283</v>
      </c>
      <c r="D699" s="2">
        <v>44839.403101851851</v>
      </c>
    </row>
    <row r="700" spans="1:4" x14ac:dyDescent="0.3">
      <c r="A700" t="s">
        <v>793</v>
      </c>
      <c r="B700" s="3" t="s">
        <v>285</v>
      </c>
      <c r="D700" s="2">
        <v>44839.403136574074</v>
      </c>
    </row>
    <row r="701" spans="1:4" x14ac:dyDescent="0.3">
      <c r="A701" t="s">
        <v>793</v>
      </c>
      <c r="B701" s="3" t="s">
        <v>408</v>
      </c>
      <c r="D701" s="2">
        <v>44839.403136574074</v>
      </c>
    </row>
    <row r="702" spans="1:4" x14ac:dyDescent="0.3">
      <c r="A702" t="s">
        <v>793</v>
      </c>
      <c r="B702" s="3" t="s">
        <v>344</v>
      </c>
      <c r="D702" s="2">
        <v>44839.403148148151</v>
      </c>
    </row>
    <row r="703" spans="1:4" x14ac:dyDescent="0.3">
      <c r="A703" t="s">
        <v>793</v>
      </c>
      <c r="B703" s="3" t="s">
        <v>313</v>
      </c>
      <c r="D703" s="2">
        <v>44839.40315972222</v>
      </c>
    </row>
    <row r="704" spans="1:4" x14ac:dyDescent="0.3">
      <c r="A704" t="s">
        <v>793</v>
      </c>
      <c r="B704" s="3" t="s">
        <v>282</v>
      </c>
      <c r="D704" s="2">
        <v>44839.403171296297</v>
      </c>
    </row>
    <row r="705" spans="1:4" x14ac:dyDescent="0.3">
      <c r="A705" t="s">
        <v>793</v>
      </c>
      <c r="B705" s="3" t="s">
        <v>281</v>
      </c>
      <c r="D705" s="2">
        <v>44839.403182870374</v>
      </c>
    </row>
    <row r="706" spans="1:4" x14ac:dyDescent="0.3">
      <c r="A706" t="s">
        <v>793</v>
      </c>
      <c r="B706" s="3" t="s">
        <v>343</v>
      </c>
      <c r="D706" s="2">
        <v>44839.403182870374</v>
      </c>
    </row>
    <row r="707" spans="1:4" x14ac:dyDescent="0.3">
      <c r="A707" t="s">
        <v>793</v>
      </c>
      <c r="B707" s="3" t="s">
        <v>407</v>
      </c>
      <c r="D707" s="2">
        <v>44839.403275462966</v>
      </c>
    </row>
    <row r="708" spans="1:4" x14ac:dyDescent="0.3">
      <c r="A708" t="s">
        <v>793</v>
      </c>
      <c r="B708" s="3" t="s">
        <v>278</v>
      </c>
      <c r="D708" s="2">
        <v>44839.403287037036</v>
      </c>
    </row>
    <row r="709" spans="1:4" x14ac:dyDescent="0.3">
      <c r="A709" t="s">
        <v>793</v>
      </c>
      <c r="B709" s="3" t="s">
        <v>340</v>
      </c>
      <c r="D709" s="2">
        <v>44839.403287037036</v>
      </c>
    </row>
    <row r="710" spans="1:4" x14ac:dyDescent="0.3">
      <c r="A710" t="s">
        <v>793</v>
      </c>
      <c r="B710" s="3" t="s">
        <v>400</v>
      </c>
      <c r="D710" s="2">
        <v>44839.403310185182</v>
      </c>
    </row>
    <row r="711" spans="1:4" x14ac:dyDescent="0.3">
      <c r="A711" t="s">
        <v>793</v>
      </c>
      <c r="B711" s="3" t="s">
        <v>337</v>
      </c>
      <c r="D711" s="2">
        <v>44839.403310185182</v>
      </c>
    </row>
    <row r="712" spans="1:4" x14ac:dyDescent="0.3">
      <c r="A712" t="s">
        <v>793</v>
      </c>
      <c r="B712" s="3" t="s">
        <v>274</v>
      </c>
      <c r="D712" s="2">
        <v>44839.403356481482</v>
      </c>
    </row>
    <row r="713" spans="1:4" x14ac:dyDescent="0.3">
      <c r="A713" t="s">
        <v>793</v>
      </c>
      <c r="B713" s="3" t="s">
        <v>512</v>
      </c>
      <c r="D713" s="2">
        <v>44839.403368055559</v>
      </c>
    </row>
    <row r="714" spans="1:4" x14ac:dyDescent="0.3">
      <c r="A714" t="s">
        <v>793</v>
      </c>
      <c r="B714" s="3" t="s">
        <v>536</v>
      </c>
      <c r="D714" s="2">
        <v>44839.403379629628</v>
      </c>
    </row>
    <row r="715" spans="1:4" x14ac:dyDescent="0.3">
      <c r="A715" t="s">
        <v>793</v>
      </c>
      <c r="B715" s="3" t="s">
        <v>560</v>
      </c>
      <c r="D715" s="2">
        <v>44839.403391203705</v>
      </c>
    </row>
    <row r="716" spans="1:4" x14ac:dyDescent="0.3">
      <c r="A716" t="s">
        <v>793</v>
      </c>
      <c r="B716" s="3" t="s">
        <v>516</v>
      </c>
      <c r="D716" s="2">
        <v>44839.403402777774</v>
      </c>
    </row>
    <row r="717" spans="1:4" x14ac:dyDescent="0.3">
      <c r="A717" t="s">
        <v>793</v>
      </c>
      <c r="B717" s="3" t="s">
        <v>540</v>
      </c>
      <c r="D717" s="2">
        <v>44839.403402777774</v>
      </c>
    </row>
    <row r="718" spans="1:4" x14ac:dyDescent="0.3">
      <c r="A718" t="s">
        <v>793</v>
      </c>
      <c r="B718" s="3" t="s">
        <v>564</v>
      </c>
      <c r="D718" s="2">
        <v>44839.403414351851</v>
      </c>
    </row>
    <row r="719" spans="1:4" x14ac:dyDescent="0.3">
      <c r="A719" t="s">
        <v>793</v>
      </c>
      <c r="B719" s="3" t="s">
        <v>520</v>
      </c>
      <c r="D719" s="2">
        <v>44839.403425925928</v>
      </c>
    </row>
    <row r="720" spans="1:4" x14ac:dyDescent="0.3">
      <c r="A720" t="s">
        <v>793</v>
      </c>
      <c r="B720" s="3" t="s">
        <v>544</v>
      </c>
      <c r="D720" s="2">
        <v>44839.403437499997</v>
      </c>
    </row>
    <row r="721" spans="1:4" x14ac:dyDescent="0.3">
      <c r="A721" t="s">
        <v>793</v>
      </c>
      <c r="B721" s="3" t="s">
        <v>568</v>
      </c>
      <c r="D721" s="2">
        <v>44839.403449074074</v>
      </c>
    </row>
    <row r="722" spans="1:4" x14ac:dyDescent="0.3">
      <c r="A722" t="s">
        <v>793</v>
      </c>
      <c r="B722" s="3" t="s">
        <v>608</v>
      </c>
      <c r="D722" s="2">
        <v>44839.403460648151</v>
      </c>
    </row>
    <row r="723" spans="1:4" x14ac:dyDescent="0.3">
      <c r="A723" t="s">
        <v>793</v>
      </c>
      <c r="B723" s="3" t="s">
        <v>616</v>
      </c>
      <c r="D723" s="2">
        <v>44839.403645833336</v>
      </c>
    </row>
    <row r="724" spans="1:4" x14ac:dyDescent="0.3">
      <c r="A724" t="s">
        <v>793</v>
      </c>
      <c r="B724" s="3" t="s">
        <v>93</v>
      </c>
      <c r="C724" t="s">
        <v>749</v>
      </c>
      <c r="D724" s="2">
        <v>44839.40929398148</v>
      </c>
    </row>
    <row r="725" spans="1:4" x14ac:dyDescent="0.3">
      <c r="A725" t="s">
        <v>793</v>
      </c>
      <c r="B725" s="3" t="s">
        <v>404</v>
      </c>
      <c r="D725" s="2">
        <v>44839.411574074074</v>
      </c>
    </row>
    <row r="726" spans="1:4" x14ac:dyDescent="0.3">
      <c r="A726" t="s">
        <v>793</v>
      </c>
      <c r="B726" s="3" t="s">
        <v>40</v>
      </c>
      <c r="C726" t="s">
        <v>749</v>
      </c>
      <c r="D726" s="2">
        <v>44839.418032407404</v>
      </c>
    </row>
    <row r="727" spans="1:4" x14ac:dyDescent="0.3">
      <c r="A727" t="s">
        <v>793</v>
      </c>
      <c r="B727" s="3" t="s">
        <v>146</v>
      </c>
      <c r="C727" t="s">
        <v>749</v>
      </c>
      <c r="D727" s="2">
        <v>44839.44190972222</v>
      </c>
    </row>
    <row r="728" spans="1:4" x14ac:dyDescent="0.3">
      <c r="A728" t="s">
        <v>793</v>
      </c>
      <c r="B728" s="3" t="s">
        <v>145</v>
      </c>
      <c r="C728" t="s">
        <v>749</v>
      </c>
      <c r="D728" s="2">
        <v>44839.442118055558</v>
      </c>
    </row>
    <row r="729" spans="1:4" x14ac:dyDescent="0.3">
      <c r="A729" t="s">
        <v>793</v>
      </c>
      <c r="B729" s="3" t="s">
        <v>44</v>
      </c>
      <c r="C729" t="s">
        <v>749</v>
      </c>
      <c r="D729" s="2">
        <v>44839.444479166668</v>
      </c>
    </row>
    <row r="730" spans="1:4" x14ac:dyDescent="0.3">
      <c r="A730" t="s">
        <v>793</v>
      </c>
      <c r="B730" s="3" t="s">
        <v>16</v>
      </c>
      <c r="C730" t="s">
        <v>749</v>
      </c>
      <c r="D730" s="2">
        <v>44839.444803240738</v>
      </c>
    </row>
    <row r="731" spans="1:4" x14ac:dyDescent="0.3">
      <c r="A731" t="s">
        <v>793</v>
      </c>
      <c r="B731" s="3" t="s">
        <v>627</v>
      </c>
      <c r="C731" t="s">
        <v>751</v>
      </c>
      <c r="D731" s="2">
        <v>44839.448831018519</v>
      </c>
    </row>
    <row r="732" spans="1:4" x14ac:dyDescent="0.3">
      <c r="A732" t="s">
        <v>793</v>
      </c>
      <c r="B732" s="3" t="s">
        <v>22</v>
      </c>
      <c r="C732" s="85" t="s">
        <v>749</v>
      </c>
      <c r="D732" s="2">
        <v>44839.456574074073</v>
      </c>
    </row>
    <row r="733" spans="1:4" x14ac:dyDescent="0.3">
      <c r="A733" t="s">
        <v>793</v>
      </c>
      <c r="B733" s="3" t="s">
        <v>81</v>
      </c>
      <c r="C733">
        <v>1</v>
      </c>
      <c r="D733" s="2">
        <v>44839.839606481481</v>
      </c>
    </row>
    <row r="734" spans="1:4" x14ac:dyDescent="0.3">
      <c r="A734" t="s">
        <v>793</v>
      </c>
      <c r="B734" s="3" t="s">
        <v>48</v>
      </c>
      <c r="C734">
        <v>1</v>
      </c>
      <c r="D734" s="2">
        <v>44839.839629629627</v>
      </c>
    </row>
    <row r="735" spans="1:4" x14ac:dyDescent="0.3">
      <c r="A735" t="s">
        <v>793</v>
      </c>
      <c r="B735" s="3" t="s">
        <v>183</v>
      </c>
      <c r="D735" s="2">
        <v>44840.764201388891</v>
      </c>
    </row>
    <row r="736" spans="1:4" x14ac:dyDescent="0.3">
      <c r="A736" t="s">
        <v>793</v>
      </c>
      <c r="B736" s="3" t="s">
        <v>119</v>
      </c>
      <c r="D736" s="2">
        <v>44840.821562500001</v>
      </c>
    </row>
    <row r="737" spans="1:4" x14ac:dyDescent="0.3">
      <c r="A737" t="s">
        <v>793</v>
      </c>
      <c r="B737" s="3" t="s">
        <v>781</v>
      </c>
      <c r="C737">
        <v>2</v>
      </c>
      <c r="D737" s="2">
        <v>44840.865555555552</v>
      </c>
    </row>
    <row r="738" spans="1:4" x14ac:dyDescent="0.3">
      <c r="A738" t="s">
        <v>793</v>
      </c>
      <c r="B738" s="3" t="s">
        <v>778</v>
      </c>
      <c r="C738">
        <v>2</v>
      </c>
      <c r="D738" s="2">
        <v>44840.865567129629</v>
      </c>
    </row>
    <row r="739" spans="1:4" x14ac:dyDescent="0.3">
      <c r="A739" t="s">
        <v>793</v>
      </c>
      <c r="B739" s="3" t="s">
        <v>311</v>
      </c>
      <c r="D739" s="2">
        <v>44840.898252314815</v>
      </c>
    </row>
    <row r="740" spans="1:4" x14ac:dyDescent="0.3">
      <c r="A740" t="s">
        <v>793</v>
      </c>
      <c r="B740" s="3" t="s">
        <v>776</v>
      </c>
      <c r="C740">
        <v>2</v>
      </c>
      <c r="D740" s="2">
        <v>44840.898645833331</v>
      </c>
    </row>
    <row r="741" spans="1:4" x14ac:dyDescent="0.3">
      <c r="A741" t="s">
        <v>793</v>
      </c>
      <c r="B741" s="3" t="s">
        <v>777</v>
      </c>
      <c r="C741">
        <v>2</v>
      </c>
      <c r="D741" s="2">
        <v>44840.898657407408</v>
      </c>
    </row>
    <row r="742" spans="1:4" x14ac:dyDescent="0.3">
      <c r="A742" t="s">
        <v>793</v>
      </c>
      <c r="B742" s="3" t="s">
        <v>779</v>
      </c>
      <c r="C742">
        <v>2</v>
      </c>
      <c r="D742" s="2">
        <v>44840.898680555554</v>
      </c>
    </row>
    <row r="743" spans="1:4" x14ac:dyDescent="0.3">
      <c r="A743" t="s">
        <v>793</v>
      </c>
      <c r="B743" s="3" t="s">
        <v>746</v>
      </c>
      <c r="C743">
        <v>2</v>
      </c>
      <c r="D743" s="2">
        <v>44840.8987037037</v>
      </c>
    </row>
    <row r="744" spans="1:4" x14ac:dyDescent="0.3">
      <c r="A744" t="s">
        <v>793</v>
      </c>
      <c r="B744" s="3" t="s">
        <v>747</v>
      </c>
      <c r="C744">
        <v>2</v>
      </c>
      <c r="D744" s="2">
        <v>44840.898715277777</v>
      </c>
    </row>
    <row r="745" spans="1:4" x14ac:dyDescent="0.3">
      <c r="A745" t="s">
        <v>793</v>
      </c>
      <c r="B745" s="3" t="s">
        <v>730</v>
      </c>
      <c r="C745">
        <v>2</v>
      </c>
      <c r="D745" s="2">
        <v>44840.898738425924</v>
      </c>
    </row>
    <row r="746" spans="1:4" x14ac:dyDescent="0.3">
      <c r="A746" t="s">
        <v>794</v>
      </c>
      <c r="B746" s="3" t="s">
        <v>242</v>
      </c>
      <c r="D746" s="2">
        <v>44840.908043981479</v>
      </c>
    </row>
    <row r="747" spans="1:4" x14ac:dyDescent="0.3">
      <c r="A747" t="s">
        <v>793</v>
      </c>
      <c r="B747" s="3" t="s">
        <v>773</v>
      </c>
      <c r="C747">
        <v>3</v>
      </c>
      <c r="D747" s="2">
        <v>44840.911469907405</v>
      </c>
    </row>
    <row r="748" spans="1:4" x14ac:dyDescent="0.3">
      <c r="A748" t="s">
        <v>793</v>
      </c>
      <c r="B748" s="3" t="s">
        <v>774</v>
      </c>
      <c r="C748">
        <v>3</v>
      </c>
      <c r="D748" s="2">
        <v>44840.911481481482</v>
      </c>
    </row>
    <row r="749" spans="1:4" x14ac:dyDescent="0.3">
      <c r="D74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INFO</vt:lpstr>
      <vt:lpstr>ilości</vt:lpstr>
      <vt:lpstr>Arkusz pomocniczy</vt:lpstr>
      <vt:lpstr>safety</vt:lpstr>
      <vt:lpstr>Regały!Print_Area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Patryk.Tomaszewski@reckitt.com</dc:creator>
  <cp:lastModifiedBy>Tomaszewski, Patryk</cp:lastModifiedBy>
  <cp:lastPrinted>2022-10-05T11:09:42Z</cp:lastPrinted>
  <dcterms:created xsi:type="dcterms:W3CDTF">2021-03-14T07:09:50Z</dcterms:created>
  <dcterms:modified xsi:type="dcterms:W3CDTF">2022-10-08T07:30:55Z</dcterms:modified>
</cp:coreProperties>
</file>